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/>
  <mc:AlternateContent xmlns:mc="http://schemas.openxmlformats.org/markup-compatibility/2006">
    <mc:Choice Requires="x15">
      <x15ac:absPath xmlns:x15ac="http://schemas.microsoft.com/office/spreadsheetml/2010/11/ac" url="/Users/kiennt/FeStore/MyDrive/MyWorks/FU/SWP49x-Capstones/SWP490_Templates &amp; Samples &amp; student guide/Project Reports_V2/"/>
    </mc:Choice>
  </mc:AlternateContent>
  <xr:revisionPtr revIDLastSave="0" documentId="13_ncr:1_{7FE5D689-2D20-004E-855C-B3050AB9E66E}" xr6:coauthVersionLast="47" xr6:coauthVersionMax="47" xr10:uidLastSave="{00000000-0000-0000-0000-000000000000}"/>
  <bookViews>
    <workbookView xWindow="0" yWindow="500" windowWidth="27560" windowHeight="14420" tabRatio="821" xr2:uid="{00000000-000D-0000-FFFF-FFFF00000000}"/>
  </bookViews>
  <sheets>
    <sheet name="Cover" sheetId="9" r:id="rId1"/>
    <sheet name="Test Cases" sheetId="2" r:id="rId2"/>
    <sheet name="Test Statistics" sheetId="5" r:id="rId3"/>
    <sheet name="Feature 1" sheetId="3" r:id="rId4"/>
    <sheet name="Feature 2" sheetId="8" r:id="rId5"/>
  </sheets>
  <externalReferences>
    <externalReference r:id="rId6"/>
  </externalReferences>
  <definedNames>
    <definedName name="_xlnm._FilterDatabase" localSheetId="3" hidden="1">'Feature 1'!$A$10:$O$18</definedName>
    <definedName name="_xlnm._FilterDatabase" localSheetId="4" hidden="1">'Feature 2'!$A$10:$O$17</definedName>
    <definedName name="ACTION" localSheetId="0">#REF!</definedName>
    <definedName name="ACTION">#REF!</definedName>
  </definedNames>
  <calcPr calcId="191029"/>
</workbook>
</file>

<file path=xl/calcChain.xml><?xml version="1.0" encoding="utf-8"?>
<calcChain xmlns="http://schemas.openxmlformats.org/spreadsheetml/2006/main">
  <c r="B6" i="9" l="1"/>
  <c r="C12" i="5"/>
  <c r="E8" i="8"/>
  <c r="D8" i="8"/>
  <c r="C8" i="8"/>
  <c r="B8" i="8"/>
  <c r="E7" i="8"/>
  <c r="D7" i="8"/>
  <c r="C7" i="8"/>
  <c r="B7" i="8"/>
  <c r="E6" i="8"/>
  <c r="G12" i="5" s="1"/>
  <c r="D6" i="8"/>
  <c r="F12" i="5" s="1"/>
  <c r="C6" i="8"/>
  <c r="E12" i="5" s="1"/>
  <c r="B6" i="8"/>
  <c r="D12" i="5" s="1"/>
  <c r="B4" i="8"/>
  <c r="H12" i="5" s="1"/>
  <c r="E11" i="5"/>
  <c r="F11" i="5"/>
  <c r="G11" i="5"/>
  <c r="D11" i="5"/>
  <c r="C7" i="3"/>
  <c r="D7" i="3"/>
  <c r="E7" i="3"/>
  <c r="C8" i="3"/>
  <c r="D8" i="3"/>
  <c r="E8" i="3"/>
  <c r="B8" i="3"/>
  <c r="B7" i="3"/>
  <c r="C6" i="3"/>
  <c r="D6" i="3"/>
  <c r="E6" i="3"/>
  <c r="B6" i="3"/>
  <c r="D3" i="2" l="1"/>
  <c r="D4" i="2"/>
  <c r="C5" i="5"/>
  <c r="C11" i="5"/>
  <c r="B4" i="3" l="1"/>
  <c r="H11" i="5" s="1"/>
  <c r="D14" i="5"/>
  <c r="E14" i="5"/>
  <c r="H14" i="5" l="1"/>
  <c r="F14" i="5" l="1"/>
  <c r="G14" i="5"/>
  <c r="E16" i="5" s="1"/>
  <c r="E17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" authorId="0" shapeId="0" xr:uid="{C47225F5-221F-9443-B842-2F7F73318C79}">
      <text>
        <r>
          <rPr>
            <b/>
            <sz val="8"/>
            <color indexed="81"/>
            <rFont val="Tahoma"/>
            <family val="2"/>
          </rPr>
          <t>*A</t>
        </r>
        <r>
          <rPr>
            <sz val="8"/>
            <color indexed="81"/>
            <rFont val="Tahoma"/>
            <family val="2"/>
          </rPr>
          <t xml:space="preserve">: Add
  </t>
        </r>
        <r>
          <rPr>
            <b/>
            <sz val="8"/>
            <color indexed="81"/>
            <rFont val="Tahoma"/>
            <family val="2"/>
          </rPr>
          <t>M</t>
        </r>
        <r>
          <rPr>
            <sz val="8"/>
            <color indexed="81"/>
            <rFont val="Tahoma"/>
            <family val="2"/>
          </rPr>
          <t xml:space="preserve">: Modify
  </t>
        </r>
        <r>
          <rPr>
            <b/>
            <sz val="8"/>
            <color indexed="81"/>
            <rFont val="Tahoma"/>
            <family val="2"/>
          </rPr>
          <t>D</t>
        </r>
        <r>
          <rPr>
            <sz val="8"/>
            <color indexed="81"/>
            <rFont val="Tahoma"/>
            <family val="2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D121D8BB-6284-C446-8956-5046159078EE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8F7F91F9-37CF-7749-A52D-308C7DDBB513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<sst xmlns="http://schemas.openxmlformats.org/spreadsheetml/2006/main" count="193" uniqueCount="80">
  <si>
    <t>Project Name</t>
  </si>
  <si>
    <t>&lt;Project Name&gt;</t>
  </si>
  <si>
    <t>Creator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</si>
  <si>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</si>
  <si>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</si>
  <si>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</si>
  <si>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</si>
  <si>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</si>
  <si>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</si>
  <si>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</si>
  <si>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</si>
  <si>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</si>
  <si>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</si>
  <si>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</si>
  <si>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</si>
  <si>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</si>
  <si>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</si>
  <si>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</si>
  <si>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</si>
  <si>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</si>
  <si>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</si>
  <si>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</si>
  <si>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</si>
  <si>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</si>
  <si>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Function A</t>
  </si>
  <si>
    <t>Function B</t>
  </si>
  <si>
    <t>Function C</t>
  </si>
  <si>
    <t>Function D</t>
  </si>
  <si>
    <t>Function E</t>
  </si>
  <si>
    <t>Test requirement</t>
  </si>
  <si>
    <t>&lt;Brief description about requirements which are tested in this sheet&gt;</t>
  </si>
  <si>
    <t>Tester</t>
  </si>
  <si>
    <t>N/A</t>
  </si>
  <si>
    <t>Test Case Description</t>
  </si>
  <si>
    <t>Test date</t>
  </si>
  <si>
    <t>Note</t>
  </si>
  <si>
    <r>
      <t xml:space="preserve">&lt;Brief description of this case: what is tested?&gt;
</t>
    </r>
    <r>
      <rPr>
        <sz val="10"/>
        <rFont val="Tahoma"/>
        <family val="2"/>
      </rPr>
      <t>Ex: Test viewing "Company" form.</t>
    </r>
  </si>
  <si>
    <r>
      <t xml:space="preserve">&lt;Describe steps to perform this case&gt;
</t>
    </r>
    <r>
      <rPr>
        <sz val="10"/>
        <rFont val="Tahoma"/>
        <family val="2"/>
      </rPr>
      <t>Ex:
1. Login the system with Manager role.
2. Click "Company" tab in the left menu.</t>
    </r>
  </si>
  <si>
    <r>
      <t xml:space="preserve">&lt;Describe results which meet customer's requirement&gt;
</t>
    </r>
    <r>
      <rPr>
        <sz val="10"/>
        <color indexed="8"/>
        <rFont val="Tahoma"/>
        <family val="2"/>
      </rPr>
      <t>Ex:
The "Company" view form is displayed with the folowing informations:
- Company name
- Company address
- Phone
- Fax</t>
    </r>
  </si>
  <si>
    <t xml:space="preserve">&lt;List all test cases or conditions that must be done before performing this case&gt;
</t>
  </si>
  <si>
    <t>&lt;Test case 2&gt;</t>
  </si>
  <si>
    <t>&lt;Test case 3&gt;</t>
  </si>
  <si>
    <t>&lt;Test case 4&gt;</t>
  </si>
  <si>
    <t>&lt;Test case 5&gt;</t>
  </si>
  <si>
    <t>&lt;Test case 6&gt;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</si>
  <si>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</si>
  <si>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</si>
  <si>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</si>
  <si>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</si>
  <si>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Number of  test cases</t>
  </si>
  <si>
    <t>Sub total</t>
  </si>
  <si>
    <t>Test coverage</t>
  </si>
  <si>
    <t>%</t>
  </si>
  <si>
    <t>Test successful coverage</t>
  </si>
  <si>
    <t>Expected Results</t>
  </si>
  <si>
    <t>Test Case Procedure</t>
  </si>
  <si>
    <t>Feature1</t>
  </si>
  <si>
    <t>Feature2</t>
  </si>
  <si>
    <t>Feature</t>
  </si>
  <si>
    <t>&lt;Feature Name1&gt;</t>
  </si>
  <si>
    <t>&lt;Feature Name2&gt;</t>
  </si>
  <si>
    <t>Pending</t>
  </si>
  <si>
    <t>Passed</t>
  </si>
  <si>
    <t>Failed</t>
  </si>
  <si>
    <t>Testing Round</t>
  </si>
  <si>
    <t>Round 1</t>
  </si>
  <si>
    <t>Pre-conditions</t>
  </si>
  <si>
    <t>Round 2</t>
  </si>
  <si>
    <t>Round 3</t>
  </si>
  <si>
    <t>&lt;ID1&gt;</t>
  </si>
  <si>
    <t>&lt;ID2&gt;</t>
  </si>
  <si>
    <t>&lt;ID3&gt;</t>
  </si>
  <si>
    <t>&lt;ID4&gt;</t>
  </si>
  <si>
    <t>&lt;ID5&gt;</t>
  </si>
  <si>
    <t>&lt;ID6&gt;</t>
  </si>
  <si>
    <t>Test Case ID</t>
  </si>
  <si>
    <t>Number of TCs</t>
  </si>
  <si>
    <t>TEST STATISTICS</t>
  </si>
  <si>
    <t>TEST REPORT DOCUMENT</t>
  </si>
  <si>
    <t>&lt;List of documents which are refered in this version.&gt;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</si>
</sst>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dd/mm/yyyy"/>
  </numFmts>
  <fonts count="24">
    <font>
      <sz val="11"/>
      <name val="ＭＳ Ｐゴシック"/>
      <charset val="128"/>
    </font>
    <font>
      <sz val="9"/>
      <name val="ＭＳ ゴシック"/>
      <family val="3"/>
      <charset val="128"/>
    </font>
    <font>
      <sz val="10"/>
      <name val="Tahoma"/>
      <family val="2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u/>
      <sz val="11"/>
      <color indexed="12"/>
      <name val="ＭＳ Ｐゴシック"/>
      <family val="3"/>
      <charset val="128"/>
    </font>
    <font>
      <sz val="10"/>
      <color indexed="10"/>
      <name val="Tahoma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12"/>
      <name val="Tahoma"/>
      <family val="2"/>
    </font>
    <font>
      <sz val="11"/>
      <name val="ＭＳ Ｐゴシック"/>
      <family val="2"/>
      <charset val="128"/>
    </font>
    <font>
      <b/>
      <i/>
      <sz val="10"/>
      <name val="Tahoma"/>
      <family val="2"/>
    </font>
    <font>
      <sz val="8"/>
      <color rgb="FF000000"/>
      <name val="Tahoma"/>
      <family val="2"/>
    </font>
    <font>
      <sz val="11"/>
      <name val="ＭＳ Ｐゴシック"/>
      <family val="3"/>
      <charset val="128"/>
    </font>
    <font>
      <i/>
      <sz val="10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  <fill>
      <patternFill patternType="solid">
        <fgColor theme="6" tint="-0.249977111117893"/>
        <bgColor indexed="32"/>
      </patternFill>
    </fill>
  </fills>
  <borders count="3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2" fillId="0" borderId="0" applyNumberFormat="0" applyFill="0" applyBorder="0" applyAlignment="0" applyProtection="0"/>
    <xf numFmtId="0" fontId="17" fillId="0" borderId="0"/>
    <xf numFmtId="0" fontId="17" fillId="0" borderId="0"/>
    <xf numFmtId="0" fontId="1" fillId="0" borderId="0"/>
    <xf numFmtId="0" fontId="20" fillId="0" borderId="0"/>
  </cellStyleXfs>
  <cellXfs count="155">
    <xf numFmtId="0" fontId="0" fillId="0" borderId="0" xfId="0"/>
    <xf numFmtId="0" fontId="2" fillId="2" borderId="0" xfId="0" applyFont="1" applyFill="1"/>
    <xf numFmtId="0" fontId="5" fillId="2" borderId="1" xfId="0" applyFont="1" applyFill="1" applyBorder="1" applyAlignment="1">
      <alignment horizontal="left" vertical="center"/>
    </xf>
    <xf numFmtId="1" fontId="2" fillId="2" borderId="0" xfId="0" applyNumberFormat="1" applyFont="1" applyFill="1"/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Protection="1">
      <protection hidden="1"/>
    </xf>
    <xf numFmtId="0" fontId="4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2" fillId="2" borderId="0" xfId="0" applyFont="1" applyFill="1" applyAlignment="1">
      <alignment wrapText="1"/>
    </xf>
    <xf numFmtId="1" fontId="5" fillId="2" borderId="0" xfId="0" applyNumberFormat="1" applyFont="1" applyFill="1" applyBorder="1" applyAlignment="1"/>
    <xf numFmtId="0" fontId="2" fillId="2" borderId="0" xfId="0" applyFont="1" applyFill="1" applyBorder="1" applyAlignment="1"/>
    <xf numFmtId="0" fontId="2" fillId="2" borderId="0" xfId="0" applyFont="1" applyFill="1" applyAlignment="1">
      <alignment vertical="center"/>
    </xf>
    <xf numFmtId="1" fontId="2" fillId="2" borderId="0" xfId="0" applyNumberFormat="1" applyFont="1" applyFill="1" applyAlignment="1" applyProtection="1">
      <alignment vertical="center"/>
      <protection hidden="1"/>
    </xf>
    <xf numFmtId="0" fontId="2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/>
    </xf>
    <xf numFmtId="1" fontId="7" fillId="4" borderId="3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vertical="center"/>
    </xf>
    <xf numFmtId="49" fontId="2" fillId="2" borderId="7" xfId="0" applyNumberFormat="1" applyFont="1" applyFill="1" applyBorder="1" applyAlignment="1">
      <alignment horizontal="left" vertical="center"/>
    </xf>
    <xf numFmtId="0" fontId="11" fillId="2" borderId="7" xfId="1" applyNumberFormat="1" applyFont="1" applyFill="1" applyBorder="1" applyAlignment="1" applyProtection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1" fontId="2" fillId="2" borderId="9" xfId="0" applyNumberFormat="1" applyFont="1" applyFill="1" applyBorder="1" applyAlignment="1">
      <alignment vertical="center"/>
    </xf>
    <xf numFmtId="49" fontId="2" fillId="2" borderId="10" xfId="0" applyNumberFormat="1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0" xfId="0" applyFont="1" applyFill="1" applyAlignment="1"/>
    <xf numFmtId="0" fontId="13" fillId="2" borderId="0" xfId="0" applyFont="1" applyFill="1"/>
    <xf numFmtId="0" fontId="13" fillId="2" borderId="0" xfId="0" applyFont="1" applyFill="1" applyAlignment="1">
      <alignment wrapText="1"/>
    </xf>
    <xf numFmtId="0" fontId="14" fillId="2" borderId="0" xfId="0" applyFont="1" applyFill="1" applyAlignment="1"/>
    <xf numFmtId="0" fontId="2" fillId="2" borderId="0" xfId="0" applyFont="1" applyFill="1" applyAlignment="1" applyProtection="1">
      <alignment wrapText="1"/>
    </xf>
    <xf numFmtId="0" fontId="2" fillId="2" borderId="0" xfId="0" applyFont="1" applyFill="1" applyBorder="1" applyAlignment="1">
      <alignment horizontal="center" wrapText="1"/>
    </xf>
    <xf numFmtId="0" fontId="13" fillId="2" borderId="0" xfId="0" applyFont="1" applyFill="1" applyBorder="1" applyAlignment="1">
      <alignment horizontal="center" wrapText="1"/>
    </xf>
    <xf numFmtId="0" fontId="14" fillId="2" borderId="0" xfId="0" applyFont="1" applyFill="1" applyBorder="1" applyAlignment="1">
      <alignment horizontal="center" wrapText="1"/>
    </xf>
    <xf numFmtId="0" fontId="9" fillId="2" borderId="0" xfId="3" applyFont="1" applyFill="1" applyBorder="1" applyAlignment="1">
      <alignment horizontal="center" vertical="center" wrapText="1"/>
    </xf>
    <xf numFmtId="0" fontId="10" fillId="5" borderId="13" xfId="3" applyFont="1" applyFill="1" applyBorder="1" applyAlignment="1">
      <alignment horizontal="left" vertical="center"/>
    </xf>
    <xf numFmtId="0" fontId="10" fillId="5" borderId="14" xfId="3" applyFont="1" applyFill="1" applyBorder="1" applyAlignment="1">
      <alignment horizontal="left" vertical="center"/>
    </xf>
    <xf numFmtId="0" fontId="10" fillId="5" borderId="2" xfId="3" applyFont="1" applyFill="1" applyBorder="1" applyAlignment="1">
      <alignment horizontal="left" vertical="center"/>
    </xf>
    <xf numFmtId="0" fontId="9" fillId="2" borderId="0" xfId="3" applyFont="1" applyFill="1" applyBorder="1" applyAlignment="1">
      <alignment horizontal="left" vertical="center"/>
    </xf>
    <xf numFmtId="0" fontId="2" fillId="2" borderId="1" xfId="3" applyFont="1" applyFill="1" applyBorder="1" applyAlignment="1">
      <alignment vertical="top" wrapText="1"/>
    </xf>
    <xf numFmtId="0" fontId="6" fillId="2" borderId="1" xfId="3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13" fillId="2" borderId="0" xfId="0" applyFont="1" applyFill="1" applyBorder="1" applyAlignment="1">
      <alignment vertical="top" wrapText="1"/>
    </xf>
    <xf numFmtId="0" fontId="14" fillId="2" borderId="0" xfId="0" applyFont="1" applyFill="1" applyAlignment="1">
      <alignment vertical="top"/>
    </xf>
    <xf numFmtId="0" fontId="14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/>
    <xf numFmtId="0" fontId="2" fillId="2" borderId="1" xfId="0" applyFont="1" applyFill="1" applyBorder="1"/>
    <xf numFmtId="0" fontId="13" fillId="2" borderId="0" xfId="0" applyFont="1" applyFill="1" applyBorder="1"/>
    <xf numFmtId="0" fontId="10" fillId="2" borderId="0" xfId="2" applyFont="1" applyFill="1" applyBorder="1"/>
    <xf numFmtId="0" fontId="2" fillId="2" borderId="0" xfId="2" applyFont="1" applyFill="1" applyBorder="1"/>
    <xf numFmtId="164" fontId="2" fillId="2" borderId="0" xfId="2" applyNumberFormat="1" applyFont="1" applyFill="1" applyBorder="1"/>
    <xf numFmtId="0" fontId="5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vertical="top"/>
    </xf>
    <xf numFmtId="0" fontId="5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vertical="top"/>
    </xf>
    <xf numFmtId="0" fontId="5" fillId="2" borderId="0" xfId="0" applyFont="1" applyFill="1"/>
    <xf numFmtId="0" fontId="6" fillId="2" borderId="0" xfId="2" applyFont="1" applyFill="1" applyBorder="1"/>
    <xf numFmtId="0" fontId="2" fillId="2" borderId="0" xfId="0" applyFont="1" applyFill="1" applyBorder="1"/>
    <xf numFmtId="0" fontId="2" fillId="2" borderId="15" xfId="0" applyFont="1" applyFill="1" applyBorder="1" applyAlignment="1"/>
    <xf numFmtId="0" fontId="7" fillId="3" borderId="16" xfId="0" applyNumberFormat="1" applyFont="1" applyFill="1" applyBorder="1" applyAlignment="1">
      <alignment horizontal="center"/>
    </xf>
    <xf numFmtId="0" fontId="7" fillId="3" borderId="4" xfId="0" applyNumberFormat="1" applyFont="1" applyFill="1" applyBorder="1" applyAlignment="1">
      <alignment horizontal="center"/>
    </xf>
    <xf numFmtId="0" fontId="7" fillId="3" borderId="4" xfId="0" applyNumberFormat="1" applyFont="1" applyFill="1" applyBorder="1" applyAlignment="1">
      <alignment horizontal="center" wrapText="1"/>
    </xf>
    <xf numFmtId="0" fontId="7" fillId="3" borderId="12" xfId="0" applyNumberFormat="1" applyFont="1" applyFill="1" applyBorder="1" applyAlignment="1">
      <alignment horizontal="center"/>
    </xf>
    <xf numFmtId="0" fontId="7" fillId="3" borderId="17" xfId="0" applyNumberFormat="1" applyFont="1" applyFill="1" applyBorder="1" applyAlignment="1">
      <alignment horizontal="center" wrapText="1"/>
    </xf>
    <xf numFmtId="0" fontId="2" fillId="2" borderId="15" xfId="0" applyFont="1" applyFill="1" applyBorder="1"/>
    <xf numFmtId="0" fontId="2" fillId="2" borderId="18" xfId="0" applyNumberFormat="1" applyFont="1" applyFill="1" applyBorder="1" applyAlignment="1">
      <alignment horizontal="center"/>
    </xf>
    <xf numFmtId="0" fontId="2" fillId="2" borderId="7" xfId="0" applyNumberFormat="1" applyFont="1" applyFill="1" applyBorder="1"/>
    <xf numFmtId="0" fontId="2" fillId="2" borderId="7" xfId="0" applyNumberFormat="1" applyFont="1" applyFill="1" applyBorder="1" applyAlignment="1">
      <alignment horizontal="center"/>
    </xf>
    <xf numFmtId="0" fontId="2" fillId="2" borderId="19" xfId="0" applyNumberFormat="1" applyFont="1" applyFill="1" applyBorder="1" applyAlignment="1">
      <alignment horizontal="center"/>
    </xf>
    <xf numFmtId="0" fontId="2" fillId="2" borderId="20" xfId="0" applyNumberFormat="1" applyFont="1" applyFill="1" applyBorder="1" applyAlignment="1">
      <alignment horizontal="center"/>
    </xf>
    <xf numFmtId="0" fontId="15" fillId="3" borderId="21" xfId="0" applyNumberFormat="1" applyFont="1" applyFill="1" applyBorder="1" applyAlignment="1">
      <alignment horizontal="center"/>
    </xf>
    <xf numFmtId="0" fontId="7" fillId="3" borderId="10" xfId="0" applyFont="1" applyFill="1" applyBorder="1"/>
    <xf numFmtId="0" fontId="15" fillId="3" borderId="10" xfId="0" applyFont="1" applyFill="1" applyBorder="1" applyAlignment="1">
      <alignment horizontal="center"/>
    </xf>
    <xf numFmtId="0" fontId="15" fillId="3" borderId="22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10" fontId="2" fillId="2" borderId="0" xfId="0" applyNumberFormat="1" applyFont="1" applyFill="1" applyBorder="1" applyAlignment="1">
      <alignment horizontal="center"/>
    </xf>
    <xf numFmtId="9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 applyAlignment="1">
      <alignment horizontal="left"/>
    </xf>
    <xf numFmtId="2" fontId="16" fillId="2" borderId="0" xfId="0" applyNumberFormat="1" applyFont="1" applyFill="1" applyBorder="1" applyAlignment="1">
      <alignment horizontal="right" wrapText="1"/>
    </xf>
    <xf numFmtId="0" fontId="6" fillId="2" borderId="0" xfId="3" applyFont="1" applyFill="1" applyBorder="1" applyAlignment="1">
      <alignment horizontal="left" wrapText="1"/>
    </xf>
    <xf numFmtId="0" fontId="8" fillId="2" borderId="0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10" fillId="5" borderId="23" xfId="3" applyFont="1" applyFill="1" applyBorder="1" applyAlignment="1">
      <alignment horizontal="left" vertical="center"/>
    </xf>
    <xf numFmtId="0" fontId="10" fillId="5" borderId="24" xfId="3" applyFont="1" applyFill="1" applyBorder="1" applyAlignment="1">
      <alignment horizontal="left" vertical="center"/>
    </xf>
    <xf numFmtId="0" fontId="10" fillId="5" borderId="25" xfId="3" applyFont="1" applyFill="1" applyBorder="1" applyAlignment="1">
      <alignment horizontal="left" vertical="center"/>
    </xf>
    <xf numFmtId="0" fontId="6" fillId="2" borderId="0" xfId="3" applyFont="1" applyFill="1" applyBorder="1" applyAlignment="1">
      <alignment wrapText="1"/>
    </xf>
    <xf numFmtId="0" fontId="7" fillId="6" borderId="26" xfId="3" applyFont="1" applyFill="1" applyBorder="1" applyAlignment="1">
      <alignment horizontal="center" vertical="center" wrapText="1"/>
    </xf>
    <xf numFmtId="0" fontId="18" fillId="2" borderId="26" xfId="3" applyFont="1" applyFill="1" applyBorder="1" applyAlignment="1">
      <alignment horizontal="center" vertical="top" wrapText="1"/>
    </xf>
    <xf numFmtId="0" fontId="2" fillId="2" borderId="26" xfId="3" applyFont="1" applyFill="1" applyBorder="1" applyAlignment="1">
      <alignment horizontal="center" vertical="top" wrapText="1"/>
    </xf>
    <xf numFmtId="0" fontId="18" fillId="2" borderId="30" xfId="3" applyFont="1" applyFill="1" applyBorder="1" applyAlignment="1">
      <alignment horizontal="center" vertical="top" wrapText="1"/>
    </xf>
    <xf numFmtId="0" fontId="18" fillId="2" borderId="31" xfId="3" applyFont="1" applyFill="1" applyBorder="1" applyAlignment="1">
      <alignment horizontal="center" vertical="top" wrapText="1"/>
    </xf>
    <xf numFmtId="0" fontId="18" fillId="2" borderId="32" xfId="3" applyFont="1" applyFill="1" applyBorder="1" applyAlignment="1">
      <alignment horizontal="center" vertical="top" wrapText="1"/>
    </xf>
    <xf numFmtId="0" fontId="2" fillId="2" borderId="33" xfId="3" applyFont="1" applyFill="1" applyBorder="1" applyAlignment="1">
      <alignment horizontal="center" vertical="top" wrapText="1"/>
    </xf>
    <xf numFmtId="0" fontId="2" fillId="2" borderId="34" xfId="3" applyFont="1" applyFill="1" applyBorder="1" applyAlignment="1">
      <alignment horizontal="center" vertical="top" wrapText="1"/>
    </xf>
    <xf numFmtId="0" fontId="2" fillId="2" borderId="31" xfId="3" applyFont="1" applyFill="1" applyBorder="1" applyAlignment="1">
      <alignment horizontal="center" vertical="top" wrapText="1"/>
    </xf>
    <xf numFmtId="0" fontId="10" fillId="2" borderId="27" xfId="3" applyFont="1" applyFill="1" applyBorder="1" applyAlignment="1">
      <alignment horizontal="center" vertical="top" wrapText="1"/>
    </xf>
    <xf numFmtId="0" fontId="10" fillId="2" borderId="30" xfId="3" applyFont="1" applyFill="1" applyBorder="1" applyAlignment="1">
      <alignment horizontal="center" vertical="top" wrapText="1"/>
    </xf>
    <xf numFmtId="0" fontId="12" fillId="2" borderId="7" xfId="1" applyNumberFormat="1" applyFill="1" applyBorder="1" applyAlignment="1" applyProtection="1">
      <alignment horizontal="left" vertical="center"/>
    </xf>
    <xf numFmtId="1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top" wrapText="1"/>
    </xf>
    <xf numFmtId="1" fontId="5" fillId="2" borderId="13" xfId="0" applyNumberFormat="1" applyFont="1" applyFill="1" applyBorder="1" applyAlignment="1"/>
    <xf numFmtId="0" fontId="6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2" borderId="1" xfId="2" applyFont="1" applyFill="1" applyBorder="1" applyAlignment="1">
      <alignment vertical="top"/>
    </xf>
    <xf numFmtId="0" fontId="4" fillId="2" borderId="0" xfId="2" applyFont="1" applyFill="1" applyBorder="1" applyAlignment="1">
      <alignment horizontal="center"/>
    </xf>
    <xf numFmtId="0" fontId="2" fillId="2" borderId="28" xfId="3" applyFont="1" applyFill="1" applyBorder="1" applyAlignment="1">
      <alignment horizontal="left" vertical="top" wrapText="1"/>
    </xf>
    <xf numFmtId="0" fontId="2" fillId="2" borderId="29" xfId="3" applyFont="1" applyFill="1" applyBorder="1" applyAlignment="1">
      <alignment horizontal="left" vertical="top" wrapText="1"/>
    </xf>
    <xf numFmtId="0" fontId="2" fillId="2" borderId="26" xfId="3" applyFont="1" applyFill="1" applyBorder="1" applyAlignment="1">
      <alignment horizontal="left" vertical="top" wrapText="1"/>
    </xf>
    <xf numFmtId="0" fontId="2" fillId="2" borderId="31" xfId="3" applyFont="1" applyFill="1" applyBorder="1" applyAlignment="1">
      <alignment horizontal="left" vertical="top" wrapText="1"/>
    </xf>
    <xf numFmtId="0" fontId="3" fillId="0" borderId="13" xfId="5" applyFont="1" applyBorder="1" applyAlignment="1">
      <alignment horizontal="center" vertical="center"/>
    </xf>
    <xf numFmtId="0" fontId="4" fillId="0" borderId="1" xfId="5" applyFont="1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0" fontId="5" fillId="2" borderId="0" xfId="5" applyFont="1" applyFill="1" applyAlignment="1">
      <alignment horizontal="left" indent="1"/>
    </xf>
    <xf numFmtId="0" fontId="6" fillId="0" borderId="0" xfId="5" applyFont="1" applyAlignment="1">
      <alignment horizontal="left" indent="1"/>
    </xf>
    <xf numFmtId="0" fontId="2" fillId="0" borderId="0" xfId="5" applyFont="1"/>
    <xf numFmtId="0" fontId="2" fillId="2" borderId="0" xfId="5" applyFont="1" applyFill="1"/>
    <xf numFmtId="0" fontId="10" fillId="2" borderId="1" xfId="5" applyFont="1" applyFill="1" applyBorder="1" applyAlignment="1">
      <alignment horizontal="left"/>
    </xf>
    <xf numFmtId="0" fontId="21" fillId="0" borderId="1" xfId="5" applyFont="1" applyBorder="1" applyAlignment="1">
      <alignment horizontal="left"/>
    </xf>
    <xf numFmtId="0" fontId="2" fillId="0" borderId="2" xfId="5" applyFont="1" applyBorder="1"/>
    <xf numFmtId="0" fontId="21" fillId="0" borderId="2" xfId="5" applyFont="1" applyBorder="1"/>
    <xf numFmtId="0" fontId="10" fillId="2" borderId="1" xfId="5" applyFont="1" applyFill="1" applyBorder="1" applyAlignment="1">
      <alignment vertical="center"/>
    </xf>
    <xf numFmtId="0" fontId="21" fillId="0" borderId="13" xfId="5" applyFont="1" applyBorder="1" applyAlignment="1">
      <alignment horizontal="left" vertical="center"/>
    </xf>
    <xf numFmtId="0" fontId="21" fillId="0" borderId="14" xfId="5" applyFont="1" applyBorder="1" applyAlignment="1">
      <alignment horizontal="left" vertical="center"/>
    </xf>
    <xf numFmtId="0" fontId="21" fillId="0" borderId="2" xfId="5" applyFont="1" applyBorder="1" applyAlignment="1">
      <alignment horizontal="left" vertical="center"/>
    </xf>
    <xf numFmtId="0" fontId="21" fillId="0" borderId="2" xfId="5" applyFont="1" applyBorder="1" applyAlignment="1">
      <alignment horizontal="left" indent="1"/>
    </xf>
    <xf numFmtId="0" fontId="10" fillId="0" borderId="0" xfId="5" applyFont="1"/>
    <xf numFmtId="0" fontId="6" fillId="0" borderId="0" xfId="5" applyFont="1" applyAlignment="1">
      <alignment horizontal="left"/>
    </xf>
    <xf numFmtId="0" fontId="5" fillId="0" borderId="0" xfId="5" applyFont="1" applyAlignment="1">
      <alignment horizontal="left" indent="1"/>
    </xf>
    <xf numFmtId="0" fontId="10" fillId="0" borderId="0" xfId="5" applyFont="1" applyAlignment="1">
      <alignment horizontal="left"/>
    </xf>
    <xf numFmtId="164" fontId="7" fillId="3" borderId="3" xfId="5" applyNumberFormat="1" applyFont="1" applyFill="1" applyBorder="1" applyAlignment="1">
      <alignment horizontal="center" vertical="center"/>
    </xf>
    <xf numFmtId="0" fontId="7" fillId="3" borderId="4" xfId="5" applyFont="1" applyFill="1" applyBorder="1" applyAlignment="1">
      <alignment horizontal="center" vertical="center"/>
    </xf>
    <xf numFmtId="0" fontId="7" fillId="3" borderId="5" xfId="5" applyFont="1" applyFill="1" applyBorder="1" applyAlignment="1">
      <alignment horizontal="center" vertical="center"/>
    </xf>
    <xf numFmtId="0" fontId="2" fillId="0" borderId="0" xfId="5" applyFont="1" applyAlignment="1">
      <alignment vertical="center"/>
    </xf>
    <xf numFmtId="0" fontId="21" fillId="0" borderId="6" xfId="5" applyFont="1" applyBorder="1" applyAlignment="1">
      <alignment vertical="top" wrapText="1"/>
    </xf>
    <xf numFmtId="49" fontId="2" fillId="0" borderId="7" xfId="5" applyNumberFormat="1" applyFont="1" applyBorder="1" applyAlignment="1">
      <alignment vertical="top"/>
    </xf>
    <xf numFmtId="0" fontId="2" fillId="0" borderId="7" xfId="5" applyFont="1" applyBorder="1" applyAlignment="1">
      <alignment vertical="top"/>
    </xf>
    <xf numFmtId="15" fontId="2" fillId="0" borderId="7" xfId="5" applyNumberFormat="1" applyFont="1" applyBorder="1" applyAlignment="1">
      <alignment vertical="top"/>
    </xf>
    <xf numFmtId="0" fontId="21" fillId="0" borderId="8" xfId="5" applyFont="1" applyBorder="1" applyAlignment="1">
      <alignment vertical="top" wrapText="1"/>
    </xf>
    <xf numFmtId="0" fontId="2" fillId="0" borderId="0" xfId="5" applyFont="1" applyAlignment="1">
      <alignment vertical="top"/>
    </xf>
    <xf numFmtId="164" fontId="2" fillId="0" borderId="6" xfId="5" applyNumberFormat="1" applyFont="1" applyBorder="1" applyAlignment="1">
      <alignment vertical="top"/>
    </xf>
    <xf numFmtId="0" fontId="2" fillId="0" borderId="8" xfId="5" applyFont="1" applyBorder="1" applyAlignment="1">
      <alignment vertical="top"/>
    </xf>
    <xf numFmtId="164" fontId="2" fillId="0" borderId="9" xfId="5" applyNumberFormat="1" applyFont="1" applyBorder="1" applyAlignment="1">
      <alignment vertical="top"/>
    </xf>
    <xf numFmtId="49" fontId="2" fillId="0" borderId="10" xfId="5" applyNumberFormat="1" applyFont="1" applyBorder="1" applyAlignment="1">
      <alignment vertical="top"/>
    </xf>
    <xf numFmtId="0" fontId="2" fillId="0" borderId="10" xfId="5" applyFont="1" applyBorder="1" applyAlignment="1">
      <alignment vertical="top"/>
    </xf>
    <xf numFmtId="0" fontId="2" fillId="0" borderId="11" xfId="5" applyFont="1" applyBorder="1" applyAlignment="1">
      <alignment vertical="top"/>
    </xf>
    <xf numFmtId="0" fontId="2" fillId="0" borderId="0" xfId="5" applyFont="1" applyAlignment="1">
      <alignment horizontal="left" indent="1"/>
    </xf>
    <xf numFmtId="165" fontId="21" fillId="0" borderId="2" xfId="5" applyFont="1" applyBorder="1" applyNumberFormat="1"/>
    <xf numFmtId="165" fontId="21" fillId="0" borderId="6" xfId="5" applyFont="1" applyBorder="1" applyAlignment="1" applyNumberFormat="1">
      <alignment vertical="top" wrapText="1"/>
    </xf>
    <xf numFmtId="165" fontId="6" fillId="2" borderId="2" xfId="0" applyFont="1" applyFill="1" applyBorder="1" applyAlignment="1" applyNumberFormat="1">
      <alignment vertical="top"/>
    </xf>
    <xf numFmtId="165" fontId="2" fillId="2" borderId="1" xfId="3" applyFont="1" applyFill="1" applyBorder="1" applyAlignment="1" applyNumberFormat="1">
      <alignment vertical="top" wrapText="1"/>
    </xf>
    <xf numFmtId="165" fontId="2" fillId="2" borderId="1" xfId="0" applyFont="1" applyFill="1" applyBorder="1" applyAlignment="1" applyNumberFormat="1"/>
  </cellXfs>
  <cellStyles count="6">
    <cellStyle name="Hyperlink" xfId="1" builtinId="8"/>
    <cellStyle name="Normal" xfId="0" builtinId="0"/>
    <cellStyle name="Normal_Functional Test Case v1.0" xfId="2" xr:uid="{00000000-0005-0000-0000-000002000000}"/>
    <cellStyle name="Normal_Sheet1" xfId="3" xr:uid="{00000000-0005-0000-0000-000003000000}"/>
    <cellStyle name="Normal_Template_UnitTest Case_v0.9" xfId="5" xr:uid="{EEA5E9E7-8D36-4240-9C70-BE5C8BB08911}"/>
    <cellStyle name="標準_結合試験(AllOvertheWorld)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88900</xdr:rowOff>
    </xdr:from>
    <xdr:to>
      <xdr:col>0</xdr:col>
      <xdr:colOff>2133600</xdr:colOff>
      <xdr:row>1</xdr:row>
      <xdr:rowOff>787400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28D81-F0A9-7F4A-AE56-D77A2B14C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"/>
          <a:ext cx="2133600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port5_Unit%20Te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line"/>
      <sheetName val="Cover"/>
      <sheetName val="Function List"/>
      <sheetName val="Test Report"/>
      <sheetName val="Function 1"/>
      <sheetName val="Function 2"/>
      <sheetName val="Function3"/>
      <sheetName val="Examp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95E7C-3083-0D4D-BE51-7E9C959622A8}">
  <dimension ref="A2:F17"/>
  <sheetViews>
    <sheetView showGridLines="0" tabSelected="1" workbookViewId="0">
      <selection activeCell="B3" sqref="B3"/>
    </sheetView>
  </sheetViews>
  <sheetFormatPr baseColWidth="10" defaultColWidth="9" defaultRowHeight="13"/>
  <cols>
    <col min="1" max="1" width="28.1640625" style="149" customWidth="1"/>
    <col min="2" max="2" width="10" style="118" customWidth="1"/>
    <col min="3" max="3" width="14.33203125" style="118" customWidth="1"/>
    <col min="4" max="4" width="8" style="118" customWidth="1"/>
    <col min="5" max="5" width="38" style="118" customWidth="1"/>
    <col min="6" max="6" width="48.1640625" style="118" customWidth="1"/>
    <col min="7" max="256" width="9" style="118"/>
    <col min="257" max="257" width="28.1640625" style="118" customWidth="1"/>
    <col min="258" max="258" width="10" style="118" customWidth="1"/>
    <col min="259" max="259" width="14.33203125" style="118" customWidth="1"/>
    <col min="260" max="260" width="8" style="118" customWidth="1"/>
    <col min="261" max="261" width="38" style="118" customWidth="1"/>
    <col min="262" max="262" width="48.1640625" style="118" customWidth="1"/>
    <col min="263" max="512" width="9" style="118"/>
    <col min="513" max="513" width="28.1640625" style="118" customWidth="1"/>
    <col min="514" max="514" width="10" style="118" customWidth="1"/>
    <col min="515" max="515" width="14.33203125" style="118" customWidth="1"/>
    <col min="516" max="516" width="8" style="118" customWidth="1"/>
    <col min="517" max="517" width="38" style="118" customWidth="1"/>
    <col min="518" max="518" width="48.1640625" style="118" customWidth="1"/>
    <col min="519" max="768" width="9" style="118"/>
    <col min="769" max="769" width="28.1640625" style="118" customWidth="1"/>
    <col min="770" max="770" width="10" style="118" customWidth="1"/>
    <col min="771" max="771" width="14.33203125" style="118" customWidth="1"/>
    <col min="772" max="772" width="8" style="118" customWidth="1"/>
    <col min="773" max="773" width="38" style="118" customWidth="1"/>
    <col min="774" max="774" width="48.1640625" style="118" customWidth="1"/>
    <col min="775" max="1024" width="9" style="118"/>
    <col min="1025" max="1025" width="28.1640625" style="118" customWidth="1"/>
    <col min="1026" max="1026" width="10" style="118" customWidth="1"/>
    <col min="1027" max="1027" width="14.33203125" style="118" customWidth="1"/>
    <col min="1028" max="1028" width="8" style="118" customWidth="1"/>
    <col min="1029" max="1029" width="38" style="118" customWidth="1"/>
    <col min="1030" max="1030" width="48.1640625" style="118" customWidth="1"/>
    <col min="1031" max="1280" width="9" style="118"/>
    <col min="1281" max="1281" width="28.1640625" style="118" customWidth="1"/>
    <col min="1282" max="1282" width="10" style="118" customWidth="1"/>
    <col min="1283" max="1283" width="14.33203125" style="118" customWidth="1"/>
    <col min="1284" max="1284" width="8" style="118" customWidth="1"/>
    <col min="1285" max="1285" width="38" style="118" customWidth="1"/>
    <col min="1286" max="1286" width="48.1640625" style="118" customWidth="1"/>
    <col min="1287" max="1536" width="9" style="118"/>
    <col min="1537" max="1537" width="28.1640625" style="118" customWidth="1"/>
    <col min="1538" max="1538" width="10" style="118" customWidth="1"/>
    <col min="1539" max="1539" width="14.33203125" style="118" customWidth="1"/>
    <col min="1540" max="1540" width="8" style="118" customWidth="1"/>
    <col min="1541" max="1541" width="38" style="118" customWidth="1"/>
    <col min="1542" max="1542" width="48.1640625" style="118" customWidth="1"/>
    <col min="1543" max="1792" width="9" style="118"/>
    <col min="1793" max="1793" width="28.1640625" style="118" customWidth="1"/>
    <col min="1794" max="1794" width="10" style="118" customWidth="1"/>
    <col min="1795" max="1795" width="14.33203125" style="118" customWidth="1"/>
    <col min="1796" max="1796" width="8" style="118" customWidth="1"/>
    <col min="1797" max="1797" width="38" style="118" customWidth="1"/>
    <col min="1798" max="1798" width="48.1640625" style="118" customWidth="1"/>
    <col min="1799" max="2048" width="9" style="118"/>
    <col min="2049" max="2049" width="28.1640625" style="118" customWidth="1"/>
    <col min="2050" max="2050" width="10" style="118" customWidth="1"/>
    <col min="2051" max="2051" width="14.33203125" style="118" customWidth="1"/>
    <col min="2052" max="2052" width="8" style="118" customWidth="1"/>
    <col min="2053" max="2053" width="38" style="118" customWidth="1"/>
    <col min="2054" max="2054" width="48.1640625" style="118" customWidth="1"/>
    <col min="2055" max="2304" width="9" style="118"/>
    <col min="2305" max="2305" width="28.1640625" style="118" customWidth="1"/>
    <col min="2306" max="2306" width="10" style="118" customWidth="1"/>
    <col min="2307" max="2307" width="14.33203125" style="118" customWidth="1"/>
    <col min="2308" max="2308" width="8" style="118" customWidth="1"/>
    <col min="2309" max="2309" width="38" style="118" customWidth="1"/>
    <col min="2310" max="2310" width="48.1640625" style="118" customWidth="1"/>
    <col min="2311" max="2560" width="9" style="118"/>
    <col min="2561" max="2561" width="28.1640625" style="118" customWidth="1"/>
    <col min="2562" max="2562" width="10" style="118" customWidth="1"/>
    <col min="2563" max="2563" width="14.33203125" style="118" customWidth="1"/>
    <col min="2564" max="2564" width="8" style="118" customWidth="1"/>
    <col min="2565" max="2565" width="38" style="118" customWidth="1"/>
    <col min="2566" max="2566" width="48.1640625" style="118" customWidth="1"/>
    <col min="2567" max="2816" width="9" style="118"/>
    <col min="2817" max="2817" width="28.1640625" style="118" customWidth="1"/>
    <col min="2818" max="2818" width="10" style="118" customWidth="1"/>
    <col min="2819" max="2819" width="14.33203125" style="118" customWidth="1"/>
    <col min="2820" max="2820" width="8" style="118" customWidth="1"/>
    <col min="2821" max="2821" width="38" style="118" customWidth="1"/>
    <col min="2822" max="2822" width="48.1640625" style="118" customWidth="1"/>
    <col min="2823" max="3072" width="9" style="118"/>
    <col min="3073" max="3073" width="28.1640625" style="118" customWidth="1"/>
    <col min="3074" max="3074" width="10" style="118" customWidth="1"/>
    <col min="3075" max="3075" width="14.33203125" style="118" customWidth="1"/>
    <col min="3076" max="3076" width="8" style="118" customWidth="1"/>
    <col min="3077" max="3077" width="38" style="118" customWidth="1"/>
    <col min="3078" max="3078" width="48.1640625" style="118" customWidth="1"/>
    <col min="3079" max="3328" width="9" style="118"/>
    <col min="3329" max="3329" width="28.1640625" style="118" customWidth="1"/>
    <col min="3330" max="3330" width="10" style="118" customWidth="1"/>
    <col min="3331" max="3331" width="14.33203125" style="118" customWidth="1"/>
    <col min="3332" max="3332" width="8" style="118" customWidth="1"/>
    <col min="3333" max="3333" width="38" style="118" customWidth="1"/>
    <col min="3334" max="3334" width="48.1640625" style="118" customWidth="1"/>
    <col min="3335" max="3584" width="9" style="118"/>
    <col min="3585" max="3585" width="28.1640625" style="118" customWidth="1"/>
    <col min="3586" max="3586" width="10" style="118" customWidth="1"/>
    <col min="3587" max="3587" width="14.33203125" style="118" customWidth="1"/>
    <col min="3588" max="3588" width="8" style="118" customWidth="1"/>
    <col min="3589" max="3589" width="38" style="118" customWidth="1"/>
    <col min="3590" max="3590" width="48.1640625" style="118" customWidth="1"/>
    <col min="3591" max="3840" width="9" style="118"/>
    <col min="3841" max="3841" width="28.1640625" style="118" customWidth="1"/>
    <col min="3842" max="3842" width="10" style="118" customWidth="1"/>
    <col min="3843" max="3843" width="14.33203125" style="118" customWidth="1"/>
    <col min="3844" max="3844" width="8" style="118" customWidth="1"/>
    <col min="3845" max="3845" width="38" style="118" customWidth="1"/>
    <col min="3846" max="3846" width="48.1640625" style="118" customWidth="1"/>
    <col min="3847" max="4096" width="9" style="118"/>
    <col min="4097" max="4097" width="28.1640625" style="118" customWidth="1"/>
    <col min="4098" max="4098" width="10" style="118" customWidth="1"/>
    <col min="4099" max="4099" width="14.33203125" style="118" customWidth="1"/>
    <col min="4100" max="4100" width="8" style="118" customWidth="1"/>
    <col min="4101" max="4101" width="38" style="118" customWidth="1"/>
    <col min="4102" max="4102" width="48.1640625" style="118" customWidth="1"/>
    <col min="4103" max="4352" width="9" style="118"/>
    <col min="4353" max="4353" width="28.1640625" style="118" customWidth="1"/>
    <col min="4354" max="4354" width="10" style="118" customWidth="1"/>
    <col min="4355" max="4355" width="14.33203125" style="118" customWidth="1"/>
    <col min="4356" max="4356" width="8" style="118" customWidth="1"/>
    <col min="4357" max="4357" width="38" style="118" customWidth="1"/>
    <col min="4358" max="4358" width="48.1640625" style="118" customWidth="1"/>
    <col min="4359" max="4608" width="9" style="118"/>
    <col min="4609" max="4609" width="28.1640625" style="118" customWidth="1"/>
    <col min="4610" max="4610" width="10" style="118" customWidth="1"/>
    <col min="4611" max="4611" width="14.33203125" style="118" customWidth="1"/>
    <col min="4612" max="4612" width="8" style="118" customWidth="1"/>
    <col min="4613" max="4613" width="38" style="118" customWidth="1"/>
    <col min="4614" max="4614" width="48.1640625" style="118" customWidth="1"/>
    <col min="4615" max="4864" width="9" style="118"/>
    <col min="4865" max="4865" width="28.1640625" style="118" customWidth="1"/>
    <col min="4866" max="4866" width="10" style="118" customWidth="1"/>
    <col min="4867" max="4867" width="14.33203125" style="118" customWidth="1"/>
    <col min="4868" max="4868" width="8" style="118" customWidth="1"/>
    <col min="4869" max="4869" width="38" style="118" customWidth="1"/>
    <col min="4870" max="4870" width="48.1640625" style="118" customWidth="1"/>
    <col min="4871" max="5120" width="9" style="118"/>
    <col min="5121" max="5121" width="28.1640625" style="118" customWidth="1"/>
    <col min="5122" max="5122" width="10" style="118" customWidth="1"/>
    <col min="5123" max="5123" width="14.33203125" style="118" customWidth="1"/>
    <col min="5124" max="5124" width="8" style="118" customWidth="1"/>
    <col min="5125" max="5125" width="38" style="118" customWidth="1"/>
    <col min="5126" max="5126" width="48.1640625" style="118" customWidth="1"/>
    <col min="5127" max="5376" width="9" style="118"/>
    <col min="5377" max="5377" width="28.1640625" style="118" customWidth="1"/>
    <col min="5378" max="5378" width="10" style="118" customWidth="1"/>
    <col min="5379" max="5379" width="14.33203125" style="118" customWidth="1"/>
    <col min="5380" max="5380" width="8" style="118" customWidth="1"/>
    <col min="5381" max="5381" width="38" style="118" customWidth="1"/>
    <col min="5382" max="5382" width="48.1640625" style="118" customWidth="1"/>
    <col min="5383" max="5632" width="9" style="118"/>
    <col min="5633" max="5633" width="28.1640625" style="118" customWidth="1"/>
    <col min="5634" max="5634" width="10" style="118" customWidth="1"/>
    <col min="5635" max="5635" width="14.33203125" style="118" customWidth="1"/>
    <col min="5636" max="5636" width="8" style="118" customWidth="1"/>
    <col min="5637" max="5637" width="38" style="118" customWidth="1"/>
    <col min="5638" max="5638" width="48.1640625" style="118" customWidth="1"/>
    <col min="5639" max="5888" width="9" style="118"/>
    <col min="5889" max="5889" width="28.1640625" style="118" customWidth="1"/>
    <col min="5890" max="5890" width="10" style="118" customWidth="1"/>
    <col min="5891" max="5891" width="14.33203125" style="118" customWidth="1"/>
    <col min="5892" max="5892" width="8" style="118" customWidth="1"/>
    <col min="5893" max="5893" width="38" style="118" customWidth="1"/>
    <col min="5894" max="5894" width="48.1640625" style="118" customWidth="1"/>
    <col min="5895" max="6144" width="9" style="118"/>
    <col min="6145" max="6145" width="28.1640625" style="118" customWidth="1"/>
    <col min="6146" max="6146" width="10" style="118" customWidth="1"/>
    <col min="6147" max="6147" width="14.33203125" style="118" customWidth="1"/>
    <col min="6148" max="6148" width="8" style="118" customWidth="1"/>
    <col min="6149" max="6149" width="38" style="118" customWidth="1"/>
    <col min="6150" max="6150" width="48.1640625" style="118" customWidth="1"/>
    <col min="6151" max="6400" width="9" style="118"/>
    <col min="6401" max="6401" width="28.1640625" style="118" customWidth="1"/>
    <col min="6402" max="6402" width="10" style="118" customWidth="1"/>
    <col min="6403" max="6403" width="14.33203125" style="118" customWidth="1"/>
    <col min="6404" max="6404" width="8" style="118" customWidth="1"/>
    <col min="6405" max="6405" width="38" style="118" customWidth="1"/>
    <col min="6406" max="6406" width="48.1640625" style="118" customWidth="1"/>
    <col min="6407" max="6656" width="9" style="118"/>
    <col min="6657" max="6657" width="28.1640625" style="118" customWidth="1"/>
    <col min="6658" max="6658" width="10" style="118" customWidth="1"/>
    <col min="6659" max="6659" width="14.33203125" style="118" customWidth="1"/>
    <col min="6660" max="6660" width="8" style="118" customWidth="1"/>
    <col min="6661" max="6661" width="38" style="118" customWidth="1"/>
    <col min="6662" max="6662" width="48.1640625" style="118" customWidth="1"/>
    <col min="6663" max="6912" width="9" style="118"/>
    <col min="6913" max="6913" width="28.1640625" style="118" customWidth="1"/>
    <col min="6914" max="6914" width="10" style="118" customWidth="1"/>
    <col min="6915" max="6915" width="14.33203125" style="118" customWidth="1"/>
    <col min="6916" max="6916" width="8" style="118" customWidth="1"/>
    <col min="6917" max="6917" width="38" style="118" customWidth="1"/>
    <col min="6918" max="6918" width="48.1640625" style="118" customWidth="1"/>
    <col min="6919" max="7168" width="9" style="118"/>
    <col min="7169" max="7169" width="28.1640625" style="118" customWidth="1"/>
    <col min="7170" max="7170" width="10" style="118" customWidth="1"/>
    <col min="7171" max="7171" width="14.33203125" style="118" customWidth="1"/>
    <col min="7172" max="7172" width="8" style="118" customWidth="1"/>
    <col min="7173" max="7173" width="38" style="118" customWidth="1"/>
    <col min="7174" max="7174" width="48.1640625" style="118" customWidth="1"/>
    <col min="7175" max="7424" width="9" style="118"/>
    <col min="7425" max="7425" width="28.1640625" style="118" customWidth="1"/>
    <col min="7426" max="7426" width="10" style="118" customWidth="1"/>
    <col min="7427" max="7427" width="14.33203125" style="118" customWidth="1"/>
    <col min="7428" max="7428" width="8" style="118" customWidth="1"/>
    <col min="7429" max="7429" width="38" style="118" customWidth="1"/>
    <col min="7430" max="7430" width="48.1640625" style="118" customWidth="1"/>
    <col min="7431" max="7680" width="9" style="118"/>
    <col min="7681" max="7681" width="28.1640625" style="118" customWidth="1"/>
    <col min="7682" max="7682" width="10" style="118" customWidth="1"/>
    <col min="7683" max="7683" width="14.33203125" style="118" customWidth="1"/>
    <col min="7684" max="7684" width="8" style="118" customWidth="1"/>
    <col min="7685" max="7685" width="38" style="118" customWidth="1"/>
    <col min="7686" max="7686" width="48.1640625" style="118" customWidth="1"/>
    <col min="7687" max="7936" width="9" style="118"/>
    <col min="7937" max="7937" width="28.1640625" style="118" customWidth="1"/>
    <col min="7938" max="7938" width="10" style="118" customWidth="1"/>
    <col min="7939" max="7939" width="14.33203125" style="118" customWidth="1"/>
    <col min="7940" max="7940" width="8" style="118" customWidth="1"/>
    <col min="7941" max="7941" width="38" style="118" customWidth="1"/>
    <col min="7942" max="7942" width="48.1640625" style="118" customWidth="1"/>
    <col min="7943" max="8192" width="9" style="118"/>
    <col min="8193" max="8193" width="28.1640625" style="118" customWidth="1"/>
    <col min="8194" max="8194" width="10" style="118" customWidth="1"/>
    <col min="8195" max="8195" width="14.33203125" style="118" customWidth="1"/>
    <col min="8196" max="8196" width="8" style="118" customWidth="1"/>
    <col min="8197" max="8197" width="38" style="118" customWidth="1"/>
    <col min="8198" max="8198" width="48.1640625" style="118" customWidth="1"/>
    <col min="8199" max="8448" width="9" style="118"/>
    <col min="8449" max="8449" width="28.1640625" style="118" customWidth="1"/>
    <col min="8450" max="8450" width="10" style="118" customWidth="1"/>
    <col min="8451" max="8451" width="14.33203125" style="118" customWidth="1"/>
    <col min="8452" max="8452" width="8" style="118" customWidth="1"/>
    <col min="8453" max="8453" width="38" style="118" customWidth="1"/>
    <col min="8454" max="8454" width="48.1640625" style="118" customWidth="1"/>
    <col min="8455" max="8704" width="9" style="118"/>
    <col min="8705" max="8705" width="28.1640625" style="118" customWidth="1"/>
    <col min="8706" max="8706" width="10" style="118" customWidth="1"/>
    <col min="8707" max="8707" width="14.33203125" style="118" customWidth="1"/>
    <col min="8708" max="8708" width="8" style="118" customWidth="1"/>
    <col min="8709" max="8709" width="38" style="118" customWidth="1"/>
    <col min="8710" max="8710" width="48.1640625" style="118" customWidth="1"/>
    <col min="8711" max="8960" width="9" style="118"/>
    <col min="8961" max="8961" width="28.1640625" style="118" customWidth="1"/>
    <col min="8962" max="8962" width="10" style="118" customWidth="1"/>
    <col min="8963" max="8963" width="14.33203125" style="118" customWidth="1"/>
    <col min="8964" max="8964" width="8" style="118" customWidth="1"/>
    <col min="8965" max="8965" width="38" style="118" customWidth="1"/>
    <col min="8966" max="8966" width="48.1640625" style="118" customWidth="1"/>
    <col min="8967" max="9216" width="9" style="118"/>
    <col min="9217" max="9217" width="28.1640625" style="118" customWidth="1"/>
    <col min="9218" max="9218" width="10" style="118" customWidth="1"/>
    <col min="9219" max="9219" width="14.33203125" style="118" customWidth="1"/>
    <col min="9220" max="9220" width="8" style="118" customWidth="1"/>
    <col min="9221" max="9221" width="38" style="118" customWidth="1"/>
    <col min="9222" max="9222" width="48.1640625" style="118" customWidth="1"/>
    <col min="9223" max="9472" width="9" style="118"/>
    <col min="9473" max="9473" width="28.1640625" style="118" customWidth="1"/>
    <col min="9474" max="9474" width="10" style="118" customWidth="1"/>
    <col min="9475" max="9475" width="14.33203125" style="118" customWidth="1"/>
    <col min="9476" max="9476" width="8" style="118" customWidth="1"/>
    <col min="9477" max="9477" width="38" style="118" customWidth="1"/>
    <col min="9478" max="9478" width="48.1640625" style="118" customWidth="1"/>
    <col min="9479" max="9728" width="9" style="118"/>
    <col min="9729" max="9729" width="28.1640625" style="118" customWidth="1"/>
    <col min="9730" max="9730" width="10" style="118" customWidth="1"/>
    <col min="9731" max="9731" width="14.33203125" style="118" customWidth="1"/>
    <col min="9732" max="9732" width="8" style="118" customWidth="1"/>
    <col min="9733" max="9733" width="38" style="118" customWidth="1"/>
    <col min="9734" max="9734" width="48.1640625" style="118" customWidth="1"/>
    <col min="9735" max="9984" width="9" style="118"/>
    <col min="9985" max="9985" width="28.1640625" style="118" customWidth="1"/>
    <col min="9986" max="9986" width="10" style="118" customWidth="1"/>
    <col min="9987" max="9987" width="14.33203125" style="118" customWidth="1"/>
    <col min="9988" max="9988" width="8" style="118" customWidth="1"/>
    <col min="9989" max="9989" width="38" style="118" customWidth="1"/>
    <col min="9990" max="9990" width="48.1640625" style="118" customWidth="1"/>
    <col min="9991" max="10240" width="9" style="118"/>
    <col min="10241" max="10241" width="28.1640625" style="118" customWidth="1"/>
    <col min="10242" max="10242" width="10" style="118" customWidth="1"/>
    <col min="10243" max="10243" width="14.33203125" style="118" customWidth="1"/>
    <col min="10244" max="10244" width="8" style="118" customWidth="1"/>
    <col min="10245" max="10245" width="38" style="118" customWidth="1"/>
    <col min="10246" max="10246" width="48.1640625" style="118" customWidth="1"/>
    <col min="10247" max="10496" width="9" style="118"/>
    <col min="10497" max="10497" width="28.1640625" style="118" customWidth="1"/>
    <col min="10498" max="10498" width="10" style="118" customWidth="1"/>
    <col min="10499" max="10499" width="14.33203125" style="118" customWidth="1"/>
    <col min="10500" max="10500" width="8" style="118" customWidth="1"/>
    <col min="10501" max="10501" width="38" style="118" customWidth="1"/>
    <col min="10502" max="10502" width="48.1640625" style="118" customWidth="1"/>
    <col min="10503" max="10752" width="9" style="118"/>
    <col min="10753" max="10753" width="28.1640625" style="118" customWidth="1"/>
    <col min="10754" max="10754" width="10" style="118" customWidth="1"/>
    <col min="10755" max="10755" width="14.33203125" style="118" customWidth="1"/>
    <col min="10756" max="10756" width="8" style="118" customWidth="1"/>
    <col min="10757" max="10757" width="38" style="118" customWidth="1"/>
    <col min="10758" max="10758" width="48.1640625" style="118" customWidth="1"/>
    <col min="10759" max="11008" width="9" style="118"/>
    <col min="11009" max="11009" width="28.1640625" style="118" customWidth="1"/>
    <col min="11010" max="11010" width="10" style="118" customWidth="1"/>
    <col min="11011" max="11011" width="14.33203125" style="118" customWidth="1"/>
    <col min="11012" max="11012" width="8" style="118" customWidth="1"/>
    <col min="11013" max="11013" width="38" style="118" customWidth="1"/>
    <col min="11014" max="11014" width="48.1640625" style="118" customWidth="1"/>
    <col min="11015" max="11264" width="9" style="118"/>
    <col min="11265" max="11265" width="28.1640625" style="118" customWidth="1"/>
    <col min="11266" max="11266" width="10" style="118" customWidth="1"/>
    <col min="11267" max="11267" width="14.33203125" style="118" customWidth="1"/>
    <col min="11268" max="11268" width="8" style="118" customWidth="1"/>
    <col min="11269" max="11269" width="38" style="118" customWidth="1"/>
    <col min="11270" max="11270" width="48.1640625" style="118" customWidth="1"/>
    <col min="11271" max="11520" width="9" style="118"/>
    <col min="11521" max="11521" width="28.1640625" style="118" customWidth="1"/>
    <col min="11522" max="11522" width="10" style="118" customWidth="1"/>
    <col min="11523" max="11523" width="14.33203125" style="118" customWidth="1"/>
    <col min="11524" max="11524" width="8" style="118" customWidth="1"/>
    <col min="11525" max="11525" width="38" style="118" customWidth="1"/>
    <col min="11526" max="11526" width="48.1640625" style="118" customWidth="1"/>
    <col min="11527" max="11776" width="9" style="118"/>
    <col min="11777" max="11777" width="28.1640625" style="118" customWidth="1"/>
    <col min="11778" max="11778" width="10" style="118" customWidth="1"/>
    <col min="11779" max="11779" width="14.33203125" style="118" customWidth="1"/>
    <col min="11780" max="11780" width="8" style="118" customWidth="1"/>
    <col min="11781" max="11781" width="38" style="118" customWidth="1"/>
    <col min="11782" max="11782" width="48.1640625" style="118" customWidth="1"/>
    <col min="11783" max="12032" width="9" style="118"/>
    <col min="12033" max="12033" width="28.1640625" style="118" customWidth="1"/>
    <col min="12034" max="12034" width="10" style="118" customWidth="1"/>
    <col min="12035" max="12035" width="14.33203125" style="118" customWidth="1"/>
    <col min="12036" max="12036" width="8" style="118" customWidth="1"/>
    <col min="12037" max="12037" width="38" style="118" customWidth="1"/>
    <col min="12038" max="12038" width="48.1640625" style="118" customWidth="1"/>
    <col min="12039" max="12288" width="9" style="118"/>
    <col min="12289" max="12289" width="28.1640625" style="118" customWidth="1"/>
    <col min="12290" max="12290" width="10" style="118" customWidth="1"/>
    <col min="12291" max="12291" width="14.33203125" style="118" customWidth="1"/>
    <col min="12292" max="12292" width="8" style="118" customWidth="1"/>
    <col min="12293" max="12293" width="38" style="118" customWidth="1"/>
    <col min="12294" max="12294" width="48.1640625" style="118" customWidth="1"/>
    <col min="12295" max="12544" width="9" style="118"/>
    <col min="12545" max="12545" width="28.1640625" style="118" customWidth="1"/>
    <col min="12546" max="12546" width="10" style="118" customWidth="1"/>
    <col min="12547" max="12547" width="14.33203125" style="118" customWidth="1"/>
    <col min="12548" max="12548" width="8" style="118" customWidth="1"/>
    <col min="12549" max="12549" width="38" style="118" customWidth="1"/>
    <col min="12550" max="12550" width="48.1640625" style="118" customWidth="1"/>
    <col min="12551" max="12800" width="9" style="118"/>
    <col min="12801" max="12801" width="28.1640625" style="118" customWidth="1"/>
    <col min="12802" max="12802" width="10" style="118" customWidth="1"/>
    <col min="12803" max="12803" width="14.33203125" style="118" customWidth="1"/>
    <col min="12804" max="12804" width="8" style="118" customWidth="1"/>
    <col min="12805" max="12805" width="38" style="118" customWidth="1"/>
    <col min="12806" max="12806" width="48.1640625" style="118" customWidth="1"/>
    <col min="12807" max="13056" width="9" style="118"/>
    <col min="13057" max="13057" width="28.1640625" style="118" customWidth="1"/>
    <col min="13058" max="13058" width="10" style="118" customWidth="1"/>
    <col min="13059" max="13059" width="14.33203125" style="118" customWidth="1"/>
    <col min="13060" max="13060" width="8" style="118" customWidth="1"/>
    <col min="13061" max="13061" width="38" style="118" customWidth="1"/>
    <col min="13062" max="13062" width="48.1640625" style="118" customWidth="1"/>
    <col min="13063" max="13312" width="9" style="118"/>
    <col min="13313" max="13313" width="28.1640625" style="118" customWidth="1"/>
    <col min="13314" max="13314" width="10" style="118" customWidth="1"/>
    <col min="13315" max="13315" width="14.33203125" style="118" customWidth="1"/>
    <col min="13316" max="13316" width="8" style="118" customWidth="1"/>
    <col min="13317" max="13317" width="38" style="118" customWidth="1"/>
    <col min="13318" max="13318" width="48.1640625" style="118" customWidth="1"/>
    <col min="13319" max="13568" width="9" style="118"/>
    <col min="13569" max="13569" width="28.1640625" style="118" customWidth="1"/>
    <col min="13570" max="13570" width="10" style="118" customWidth="1"/>
    <col min="13571" max="13571" width="14.33203125" style="118" customWidth="1"/>
    <col min="13572" max="13572" width="8" style="118" customWidth="1"/>
    <col min="13573" max="13573" width="38" style="118" customWidth="1"/>
    <col min="13574" max="13574" width="48.1640625" style="118" customWidth="1"/>
    <col min="13575" max="13824" width="9" style="118"/>
    <col min="13825" max="13825" width="28.1640625" style="118" customWidth="1"/>
    <col min="13826" max="13826" width="10" style="118" customWidth="1"/>
    <col min="13827" max="13827" width="14.33203125" style="118" customWidth="1"/>
    <col min="13828" max="13828" width="8" style="118" customWidth="1"/>
    <col min="13829" max="13829" width="38" style="118" customWidth="1"/>
    <col min="13830" max="13830" width="48.1640625" style="118" customWidth="1"/>
    <col min="13831" max="14080" width="9" style="118"/>
    <col min="14081" max="14081" width="28.1640625" style="118" customWidth="1"/>
    <col min="14082" max="14082" width="10" style="118" customWidth="1"/>
    <col min="14083" max="14083" width="14.33203125" style="118" customWidth="1"/>
    <col min="14084" max="14084" width="8" style="118" customWidth="1"/>
    <col min="14085" max="14085" width="38" style="118" customWidth="1"/>
    <col min="14086" max="14086" width="48.1640625" style="118" customWidth="1"/>
    <col min="14087" max="14336" width="9" style="118"/>
    <col min="14337" max="14337" width="28.1640625" style="118" customWidth="1"/>
    <col min="14338" max="14338" width="10" style="118" customWidth="1"/>
    <col min="14339" max="14339" width="14.33203125" style="118" customWidth="1"/>
    <col min="14340" max="14340" width="8" style="118" customWidth="1"/>
    <col min="14341" max="14341" width="38" style="118" customWidth="1"/>
    <col min="14342" max="14342" width="48.1640625" style="118" customWidth="1"/>
    <col min="14343" max="14592" width="9" style="118"/>
    <col min="14593" max="14593" width="28.1640625" style="118" customWidth="1"/>
    <col min="14594" max="14594" width="10" style="118" customWidth="1"/>
    <col min="14595" max="14595" width="14.33203125" style="118" customWidth="1"/>
    <col min="14596" max="14596" width="8" style="118" customWidth="1"/>
    <col min="14597" max="14597" width="38" style="118" customWidth="1"/>
    <col min="14598" max="14598" width="48.1640625" style="118" customWidth="1"/>
    <col min="14599" max="14848" width="9" style="118"/>
    <col min="14849" max="14849" width="28.1640625" style="118" customWidth="1"/>
    <col min="14850" max="14850" width="10" style="118" customWidth="1"/>
    <col min="14851" max="14851" width="14.33203125" style="118" customWidth="1"/>
    <col min="14852" max="14852" width="8" style="118" customWidth="1"/>
    <col min="14853" max="14853" width="38" style="118" customWidth="1"/>
    <col min="14854" max="14854" width="48.1640625" style="118" customWidth="1"/>
    <col min="14855" max="15104" width="9" style="118"/>
    <col min="15105" max="15105" width="28.1640625" style="118" customWidth="1"/>
    <col min="15106" max="15106" width="10" style="118" customWidth="1"/>
    <col min="15107" max="15107" width="14.33203125" style="118" customWidth="1"/>
    <col min="15108" max="15108" width="8" style="118" customWidth="1"/>
    <col min="15109" max="15109" width="38" style="118" customWidth="1"/>
    <col min="15110" max="15110" width="48.1640625" style="118" customWidth="1"/>
    <col min="15111" max="15360" width="9" style="118"/>
    <col min="15361" max="15361" width="28.1640625" style="118" customWidth="1"/>
    <col min="15362" max="15362" width="10" style="118" customWidth="1"/>
    <col min="15363" max="15363" width="14.33203125" style="118" customWidth="1"/>
    <col min="15364" max="15364" width="8" style="118" customWidth="1"/>
    <col min="15365" max="15365" width="38" style="118" customWidth="1"/>
    <col min="15366" max="15366" width="48.1640625" style="118" customWidth="1"/>
    <col min="15367" max="15616" width="9" style="118"/>
    <col min="15617" max="15617" width="28.1640625" style="118" customWidth="1"/>
    <col min="15618" max="15618" width="10" style="118" customWidth="1"/>
    <col min="15619" max="15619" width="14.33203125" style="118" customWidth="1"/>
    <col min="15620" max="15620" width="8" style="118" customWidth="1"/>
    <col min="15621" max="15621" width="38" style="118" customWidth="1"/>
    <col min="15622" max="15622" width="48.1640625" style="118" customWidth="1"/>
    <col min="15623" max="15872" width="9" style="118"/>
    <col min="15873" max="15873" width="28.1640625" style="118" customWidth="1"/>
    <col min="15874" max="15874" width="10" style="118" customWidth="1"/>
    <col min="15875" max="15875" width="14.33203125" style="118" customWidth="1"/>
    <col min="15876" max="15876" width="8" style="118" customWidth="1"/>
    <col min="15877" max="15877" width="38" style="118" customWidth="1"/>
    <col min="15878" max="15878" width="48.1640625" style="118" customWidth="1"/>
    <col min="15879" max="16128" width="9" style="118"/>
    <col min="16129" max="16129" width="28.1640625" style="118" customWidth="1"/>
    <col min="16130" max="16130" width="10" style="118" customWidth="1"/>
    <col min="16131" max="16131" width="14.33203125" style="118" customWidth="1"/>
    <col min="16132" max="16132" width="8" style="118" customWidth="1"/>
    <col min="16133" max="16133" width="38" style="118" customWidth="1"/>
    <col min="16134" max="16134" width="48.1640625" style="118" customWidth="1"/>
    <col min="16135" max="16384" width="9" style="118"/>
  </cols>
  <sheetData>
    <row r="2" spans="1:6" s="115" customFormat="1" ht="75.75" customHeight="1">
      <c r="A2" s="113"/>
      <c r="B2" s="114" t="s">
        <v>78</v>
      </c>
      <c r="C2" s="114"/>
      <c r="D2" s="114"/>
      <c r="E2" s="114"/>
      <c r="F2" s="114"/>
    </row>
    <row r="3" spans="1:6">
      <c r="A3" s="116"/>
      <c r="B3" s="117"/>
      <c r="E3" s="119"/>
    </row>
    <row r="4" spans="1:6" ht="14.25" customHeight="1">
      <c r="A4" s="120" t="s">
        <v>0</v>
      </c>
      <c r="B4" s="121" t="str">
        <v>FJMS Authentication</v>
      </c>
      <c r="C4" s="121"/>
      <c r="D4" s="121"/>
      <c r="E4" s="120" t="s">
        <v>2</v>
      </c>
      <c r="F4" s="122" t="str">
        <v>FJMS team</v>
      </c>
    </row>
    <row r="5" spans="1:6" ht="14.25" customHeight="1">
      <c r="A5" s="120" t="s">
        <v>3</v>
      </c>
      <c r="B5" s="121" t="str">
        <v>FJMS</v>
      </c>
      <c r="C5" s="121"/>
      <c r="D5" s="121"/>
      <c r="E5" s="120" t="s">
        <v>7</v>
      </c>
      <c r="F5" s="150" t="d">
        <v>2026-10-12T00:00:00.000Z</v>
      </c>
    </row>
    <row r="6" spans="1:6" ht="15.75" customHeight="1">
      <c r="A6" s="124" t="s">
        <v>6</v>
      </c>
      <c r="B6" s="125" t="str">
        <f>B5&amp;"_TR_v"&amp;F6</f>
        <v>FJMS_TR_v1.0</v>
      </c>
      <c r="C6" s="126"/>
      <c r="D6" s="127"/>
      <c r="E6" s="120" t="s">
        <v>8</v>
      </c>
      <c r="F6" s="128" t="str">
        <v>1.0</v>
      </c>
    </row>
    <row r="7" spans="1:6">
      <c r="A7" s="129"/>
      <c r="B7" s="130"/>
      <c r="E7" s="131"/>
      <c r="F7" s="117"/>
    </row>
    <row r="8" spans="1:6">
      <c r="A8" s="118"/>
    </row>
    <row r="9" spans="1:6">
      <c r="A9" s="132" t="s">
        <v>9</v>
      </c>
    </row>
    <row r="10" spans="1:6" s="136" customFormat="1">
      <c r="A10" s="133" t="s">
        <v>10</v>
      </c>
      <c r="B10" s="134" t="s">
        <v>8</v>
      </c>
      <c r="C10" s="134" t="s">
        <v>11</v>
      </c>
      <c r="D10" s="134" t="s">
        <v>12</v>
      </c>
      <c r="E10" s="134" t="s">
        <v>13</v>
      </c>
      <c r="F10" s="135" t="s">
        <v>14</v>
      </c>
    </row>
    <row r="11" spans="1:6" s="142" customFormat="1" ht="26.25" customHeight="1">
      <c r="A11" s="151" t="d">
        <v>2026-10-12T00:00:00.000Z</v>
      </c>
      <c r="B11" s="138" t="str">
        <v>1.0</v>
      </c>
      <c r="C11" s="139" t="str">
        <v>Auth tests</v>
      </c>
      <c r="D11" s="139" t="str">
        <v>A</v>
      </c>
      <c r="E11" s="140" t="str">
        <v>3 executed IT; 5 planned ST/AT</v>
      </c>
      <c r="F11" s="141" t="str">
        <v>Report5 documentation</v>
      </c>
    </row>
    <row r="12" spans="1:6" s="142" customFormat="1" ht="21.75" customHeight="1">
      <c r="A12" s="143"/>
      <c r="B12" s="138"/>
      <c r="C12" s="139"/>
      <c r="D12" s="139"/>
      <c r="E12" s="139"/>
      <c r="F12" s="144"/>
    </row>
    <row r="13" spans="1:6" s="142" customFormat="1" ht="19.5" customHeight="1">
      <c r="A13" s="143"/>
      <c r="B13" s="138"/>
      <c r="C13" s="139"/>
      <c r="D13" s="139"/>
      <c r="E13" s="139"/>
      <c r="F13" s="144"/>
    </row>
    <row r="14" spans="1:6" s="142" customFormat="1" ht="21.75" customHeight="1">
      <c r="A14" s="143"/>
      <c r="B14" s="138"/>
      <c r="C14" s="139"/>
      <c r="D14" s="139"/>
      <c r="E14" s="139"/>
      <c r="F14" s="144"/>
    </row>
    <row r="15" spans="1:6" s="142" customFormat="1" ht="19.5" customHeight="1">
      <c r="A15" s="143"/>
      <c r="B15" s="138"/>
      <c r="C15" s="139"/>
      <c r="D15" s="139"/>
      <c r="E15" s="139"/>
      <c r="F15" s="144"/>
    </row>
    <row r="16" spans="1:6" s="142" customFormat="1" ht="21.75" customHeight="1">
      <c r="A16" s="143"/>
      <c r="B16" s="138"/>
      <c r="C16" s="139"/>
      <c r="D16" s="139"/>
      <c r="E16" s="139"/>
      <c r="F16" s="144"/>
    </row>
    <row r="17" spans="1:6" s="142" customFormat="1" ht="19.5" customHeight="1">
      <c r="A17" s="145"/>
      <c r="B17" s="146"/>
      <c r="C17" s="147"/>
      <c r="D17" s="147"/>
      <c r="E17" s="147"/>
      <c r="F17" s="148"/>
    </row>
  </sheetData>
  <mergeCells count="4">
    <mergeCell ref="B2:F2"/>
    <mergeCell ref="B4:D4"/>
    <mergeCell ref="B5:D5"/>
    <mergeCell ref="B6:D6"/>
  </mergeCells>
  <pageMargins left="0.47013888888888888" right="0.47013888888888888" top="0.5" bottom="0.35138888888888886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use&amp;R&amp;"tahomaTahoma,Regular"&amp;8&amp;P/&amp;N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1"/>
  <sheetViews>
    <sheetView workbookViewId="0">
      <selection activeCell="D13" sqref="D13"/>
    </sheetView>
  </sheetViews>
  <sheetFormatPr baseColWidth="10" defaultColWidth="9" defaultRowHeight="13"/>
  <cols>
    <col min="1" max="1" width="1.33203125" style="1" customWidth="1"/>
    <col min="2" max="2" width="11.83203125" style="3" customWidth="1"/>
    <col min="3" max="3" width="26.5" style="4" customWidth="1"/>
    <col min="4" max="4" width="17.1640625" style="4" customWidth="1"/>
    <col min="5" max="5" width="28.1640625" style="4" customWidth="1"/>
    <col min="6" max="6" width="30.6640625" style="4" customWidth="1"/>
    <col min="7" max="16384" width="9" style="1"/>
  </cols>
  <sheetData>
    <row r="1" spans="2:6" ht="25">
      <c r="B1" s="5"/>
      <c r="D1" s="6" t="s">
        <v>16</v>
      </c>
      <c r="E1" s="7"/>
    </row>
    <row r="2" spans="2:6" ht="13.5" customHeight="1">
      <c r="B2" s="5"/>
      <c r="D2" s="8"/>
      <c r="E2" s="8"/>
    </row>
    <row r="3" spans="2:6">
      <c r="B3" s="104" t="s">
        <v>0</v>
      </c>
      <c r="C3" s="104"/>
      <c r="D3" s="105" t="str">
        <f>Cover!B4</f>
        <v>FJMS Authentication</v>
      </c>
      <c r="E3" s="105"/>
      <c r="F3" s="105"/>
    </row>
    <row r="4" spans="2:6">
      <c r="B4" s="104" t="s">
        <v>3</v>
      </c>
      <c r="C4" s="104"/>
      <c r="D4" s="105" t="str">
        <f>Cover!B5</f>
        <v>FJMS</v>
      </c>
      <c r="E4" s="105"/>
      <c r="F4" s="105"/>
    </row>
    <row r="5" spans="2:6" s="9" customFormat="1" ht="84.75" customHeight="1">
      <c r="B5" s="102" t="s">
        <v>17</v>
      </c>
      <c r="C5" s="102"/>
      <c r="D5" s="103" t="str">
        <v>IT: Node 24.19; Express/bcrypt/JWT real, SQL/email fake.
ST/AT: staging UI/API, SQL Server, test mailbox and browser; not yet available.</v>
      </c>
      <c r="E5" s="103"/>
      <c r="F5" s="103"/>
    </row>
    <row r="6" spans="2:6">
      <c r="B6" s="10"/>
      <c r="C6" s="11"/>
      <c r="D6" s="11"/>
      <c r="E6" s="11"/>
      <c r="F6" s="11"/>
    </row>
    <row r="7" spans="2:6" s="12" customFormat="1">
      <c r="B7" s="13"/>
      <c r="C7" s="14"/>
      <c r="D7" s="14"/>
      <c r="E7" s="14"/>
      <c r="F7" s="14"/>
    </row>
    <row r="8" spans="2:6" s="15" customFormat="1" ht="21" customHeight="1">
      <c r="B8" s="16" t="s">
        <v>19</v>
      </c>
      <c r="C8" s="17" t="s">
        <v>20</v>
      </c>
      <c r="D8" s="17" t="s">
        <v>21</v>
      </c>
      <c r="E8" s="18" t="s">
        <v>22</v>
      </c>
      <c r="F8" s="19" t="s">
        <v>23</v>
      </c>
    </row>
    <row r="9" spans="2:6" ht="14">
      <c r="B9" s="20" t="n">
        <v>1</v>
      </c>
      <c r="C9" s="21" t="str">
        <v>register</v>
      </c>
      <c r="D9" s="101" t="str">
        <v>Feature 1</v>
      </c>
      <c r="E9" s="22" t="str">
        <v>I01: hash and OTP</v>
      </c>
      <c r="F9" s="23" t="str">
        <v>Fresh fake state</v>
      </c>
    </row>
    <row r="10" spans="2:6" ht="14">
      <c r="B10" s="20" t="n">
        <v>2</v>
      </c>
      <c r="C10" s="21" t="str">
        <v>resetPassword</v>
      </c>
      <c r="D10" s="101" t="str">
        <v>Feature 1</v>
      </c>
      <c r="E10" s="22" t="str">
        <v>I02: hash and token use</v>
      </c>
      <c r="F10" s="23" t="str">
        <v>Own registration fixture</v>
      </c>
    </row>
    <row r="11" spans="2:6" ht="14">
      <c r="B11" s="20" t="n">
        <v>3</v>
      </c>
      <c r="C11" s="21" t="str">
        <v>login</v>
      </c>
      <c r="D11" s="101" t="str">
        <v>Feature 1</v>
      </c>
      <c r="E11" s="22" t="str">
        <v>I03: JWT and token</v>
      </c>
      <c r="F11" s="23" t="str">
        <v>Own verified fixture</v>
      </c>
    </row>
    <row r="12" spans="2:6" ht="14">
      <c r="B12" s="20" t="n">
        <v>4</v>
      </c>
      <c r="C12" s="21" t="str">
        <v>Authentication system</v>
      </c>
      <c r="D12" s="101" t="str">
        <v>Feature 2</v>
      </c>
      <c r="E12" s="22" t="str">
        <v>ST-01..03: Pending</v>
      </c>
      <c r="F12" s="23" t="str">
        <v>Real staging setup</v>
      </c>
    </row>
    <row r="13" spans="2:6" ht="14">
      <c r="B13" s="20" t="n">
        <v>5</v>
      </c>
      <c r="C13" s="21" t="str">
        <v>Role journeys</v>
      </c>
      <c r="D13" s="101" t="str">
        <v>Feature 2</v>
      </c>
      <c r="E13" s="22" t="str">
        <v>AT-01..02: Pending</v>
      </c>
      <c r="F13" s="23" t="str">
        <v>Staging and reviewer</v>
      </c>
    </row>
    <row r="14" spans="2:6">
      <c r="B14" s="20"/>
      <c r="C14" s="21"/>
      <c r="D14" s="24"/>
      <c r="E14" s="24"/>
      <c r="F14" s="23"/>
    </row>
    <row r="15" spans="2:6">
      <c r="B15" s="20"/>
      <c r="C15" s="21"/>
      <c r="D15" s="24"/>
      <c r="E15" s="24"/>
      <c r="F15" s="23"/>
    </row>
    <row r="16" spans="2:6">
      <c r="B16" s="20"/>
      <c r="C16" s="21"/>
      <c r="D16" s="24"/>
      <c r="E16" s="24"/>
      <c r="F16" s="23"/>
    </row>
    <row r="17" spans="2:6">
      <c r="B17" s="20"/>
      <c r="C17" s="21"/>
      <c r="D17" s="24"/>
      <c r="E17" s="24"/>
      <c r="F17" s="23"/>
    </row>
    <row r="18" spans="2:6">
      <c r="B18" s="20"/>
      <c r="C18" s="21"/>
      <c r="D18" s="24"/>
      <c r="E18" s="24"/>
      <c r="F18" s="23"/>
    </row>
    <row r="19" spans="2:6">
      <c r="B19" s="20"/>
      <c r="C19" s="21"/>
      <c r="D19" s="24"/>
      <c r="E19" s="24"/>
      <c r="F19" s="23"/>
    </row>
    <row r="20" spans="2:6">
      <c r="B20" s="20"/>
      <c r="C20" s="21"/>
      <c r="D20" s="24"/>
      <c r="E20" s="24"/>
      <c r="F20" s="23"/>
    </row>
    <row r="21" spans="2:6">
      <c r="B21" s="25"/>
      <c r="C21" s="26"/>
      <c r="D21" s="27"/>
      <c r="E21" s="27"/>
      <c r="F21" s="28"/>
    </row>
  </sheetData>
  <mergeCells count="6">
    <mergeCell ref="B5:C5"/>
    <mergeCell ref="D5:F5"/>
    <mergeCell ref="B3:C3"/>
    <mergeCell ref="D3:F3"/>
    <mergeCell ref="B4:C4"/>
    <mergeCell ref="D4:F4"/>
  </mergeCells>
  <phoneticPr fontId="0" type="noConversion"/>
  <hyperlinks>
    <hyperlink ref="D9" location="Feature1!A1" display="Feature1" xr:uid="{00000000-0004-0000-0100-000000000000}"/>
    <hyperlink ref="D10" location="Feature2!A1" display="Feature1" xr:uid="{00000000-0004-0000-0100-000001000000}"/>
    <hyperlink ref="D11" location="Feature1!A1" display="Feature1" xr:uid="{00000000-0004-0000-0100-000002000000}"/>
    <hyperlink ref="D12" location="Feature2!A1" display="Feature2" xr:uid="{00000000-0004-0000-0100-000003000000}"/>
    <hyperlink ref="D13" location="Feature2!A1" display="Feature2" xr:uid="{00000000-0004-0000-0100-000004000000}"/>
  </hyperlinks>
  <pageMargins left="0.74791666666666667" right="0.74791666666666667" top="0.98402777777777783" bottom="1.1506944444444445" header="0.51180555555555562" footer="0.98402777777777783"/>
  <pageSetup paperSize="9"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"/>
  <sheetViews>
    <sheetView workbookViewId="0">
      <selection activeCell="B2" sqref="B2"/>
    </sheetView>
  </sheetViews>
  <sheetFormatPr baseColWidth="10" defaultColWidth="9" defaultRowHeight="13"/>
  <cols>
    <col min="1" max="1" width="4.5" style="1" customWidth="1"/>
    <col min="2" max="2" width="18.33203125" style="1" customWidth="1"/>
    <col min="3" max="3" width="19.33203125" style="1" customWidth="1"/>
    <col min="4" max="6" width="11.6640625" style="1" customWidth="1"/>
    <col min="7" max="7" width="9" style="1"/>
    <col min="8" max="8" width="35.5" style="1" customWidth="1"/>
    <col min="9" max="9" width="33.1640625" style="1" customWidth="1"/>
    <col min="10" max="16384" width="9" style="1"/>
  </cols>
  <sheetData>
    <row r="1" spans="1:8" ht="25.5" customHeight="1">
      <c r="B1" s="108" t="s">
        <v>77</v>
      </c>
      <c r="C1" s="108"/>
      <c r="D1" s="108"/>
      <c r="E1" s="108"/>
      <c r="F1" s="108"/>
      <c r="G1" s="108"/>
      <c r="H1" s="108"/>
    </row>
    <row r="2" spans="1:8" ht="14.25" customHeight="1">
      <c r="A2" s="52"/>
      <c r="B2" s="52"/>
      <c r="C2" s="53"/>
      <c r="D2" s="53"/>
      <c r="E2" s="53"/>
      <c r="F2" s="53"/>
      <c r="G2" s="53"/>
      <c r="H2" s="54"/>
    </row>
    <row r="3" spans="1:8" ht="12" customHeight="1">
      <c r="B3" s="2" t="s">
        <v>0</v>
      </c>
      <c r="C3" s="105" t="str">
        <v>FJMS Authentication</v>
      </c>
      <c r="D3" s="105"/>
      <c r="E3" s="106" t="s">
        <v>2</v>
      </c>
      <c r="F3" s="106"/>
      <c r="G3" s="55"/>
      <c r="H3" s="56" t="str">
        <v>FJMS team</v>
      </c>
    </row>
    <row r="4" spans="1:8" ht="12" customHeight="1">
      <c r="B4" s="2" t="s">
        <v>3</v>
      </c>
      <c r="C4" s="105" t="str">
        <v>FJMS</v>
      </c>
      <c r="D4" s="105"/>
      <c r="E4" s="106" t="s">
        <v>5</v>
      </c>
      <c r="F4" s="106"/>
      <c r="G4" s="55"/>
      <c r="H4" s="56" t="str">
        <v>Pending</v>
      </c>
    </row>
    <row r="5" spans="1:8" ht="12" customHeight="1">
      <c r="B5" s="57" t="s">
        <v>6</v>
      </c>
      <c r="C5" s="105" t="str">
        <f>Cover!B6</f>
        <v>FJMS_TR_v1.0</v>
      </c>
      <c r="D5" s="105"/>
      <c r="E5" s="106" t="s">
        <v>7</v>
      </c>
      <c r="F5" s="106"/>
      <c r="G5" s="55"/>
      <c r="H5" s="152" t="d">
        <v>2026-10-12T00:00:00.000Z</v>
      </c>
    </row>
    <row r="6" spans="1:8" ht="21.75" customHeight="1">
      <c r="A6" s="52"/>
      <c r="B6" s="57" t="s">
        <v>46</v>
      </c>
      <c r="C6" s="107" t="str">
        <v>3 IT Passed; 3 ST + 2 AT Pending. Ratios = case execution, not code coverage.</v>
      </c>
      <c r="D6" s="107"/>
      <c r="E6" s="107"/>
      <c r="F6" s="107"/>
      <c r="G6" s="107"/>
      <c r="H6" s="107"/>
    </row>
    <row r="7" spans="1:8" ht="14.25" customHeight="1">
      <c r="A7" s="52"/>
      <c r="B7" s="59"/>
      <c r="C7" s="60"/>
      <c r="D7" s="53"/>
      <c r="E7" s="53"/>
      <c r="F7" s="53"/>
      <c r="G7" s="53"/>
      <c r="H7" s="54"/>
    </row>
    <row r="8" spans="1:8">
      <c r="B8" s="59"/>
      <c r="C8" s="60"/>
      <c r="D8" s="53"/>
      <c r="E8" s="53"/>
      <c r="F8" s="53"/>
      <c r="G8" s="53"/>
      <c r="H8" s="54"/>
    </row>
    <row r="9" spans="1:8">
      <c r="A9" s="61"/>
      <c r="B9" s="61"/>
      <c r="C9" s="61"/>
      <c r="D9" s="61"/>
      <c r="E9" s="61"/>
      <c r="F9" s="61"/>
      <c r="G9" s="61"/>
      <c r="H9" s="61"/>
    </row>
    <row r="10" spans="1:8" ht="14">
      <c r="A10" s="62"/>
      <c r="B10" s="63" t="s">
        <v>19</v>
      </c>
      <c r="C10" s="64" t="s">
        <v>48</v>
      </c>
      <c r="D10" s="65" t="s">
        <v>62</v>
      </c>
      <c r="E10" s="64" t="s">
        <v>63</v>
      </c>
      <c r="F10" s="64" t="s">
        <v>61</v>
      </c>
      <c r="G10" s="66" t="s">
        <v>32</v>
      </c>
      <c r="H10" s="67" t="s">
        <v>49</v>
      </c>
    </row>
    <row r="11" spans="1:8">
      <c r="A11" s="68"/>
      <c r="B11" s="69">
        <v>1</v>
      </c>
      <c r="C11" s="70" t="str">
        <f>'Feature 1'!B2</f>
        <v>Authentication IT</v>
      </c>
      <c r="D11" s="71" t="n">
        <f>'Feature 1'!B6</f>
        <v>3</v>
      </c>
      <c r="E11" s="71" t="n">
        <f>'Feature 1'!C6</f>
        <v>0</v>
      </c>
      <c r="F11" s="71" t="n">
        <f>'Feature 1'!D6</f>
        <v>0</v>
      </c>
      <c r="G11" s="71" t="n">
        <f>'Feature 1'!E6</f>
        <v>0</v>
      </c>
      <c r="H11" s="73" t="n">
        <f>'Feature 1'!B4</f>
        <v>3</v>
      </c>
    </row>
    <row r="12" spans="1:8">
      <c r="A12" s="68"/>
      <c r="B12" s="69">
        <v>2</v>
      </c>
      <c r="C12" s="70" t="str">
        <f>'Feature 2'!B2</f>
        <v>Authentication ST / AT</v>
      </c>
      <c r="D12" s="71" t="n">
        <f>'Feature 2'!B6</f>
        <v>0</v>
      </c>
      <c r="E12" s="71" t="n">
        <f>'Feature 2'!C6</f>
        <v>0</v>
      </c>
      <c r="F12" s="71" t="n">
        <f>'Feature 2'!D6</f>
        <v>5</v>
      </c>
      <c r="G12" s="71" t="n">
        <f>'Feature 2'!E6</f>
        <v>0</v>
      </c>
      <c r="H12" s="71" t="n">
        <f>'Feature 2'!B4</f>
        <v>5</v>
      </c>
    </row>
    <row r="13" spans="1:8">
      <c r="A13" s="68"/>
      <c r="B13" s="69"/>
      <c r="C13" s="70"/>
      <c r="D13" s="71"/>
      <c r="E13" s="71"/>
      <c r="F13" s="71"/>
      <c r="G13" s="72"/>
      <c r="H13" s="73"/>
    </row>
    <row r="14" spans="1:8">
      <c r="A14" s="68"/>
      <c r="B14" s="74"/>
      <c r="C14" s="75" t="s">
        <v>50</v>
      </c>
      <c r="D14" s="76" t="n">
        <f>SUM(D11:D12)</f>
        <v>3</v>
      </c>
      <c r="E14" s="76" t="n">
        <f>SUM(E11:E12)</f>
        <v>0</v>
      </c>
      <c r="F14" s="76" t="n">
        <f>SUM(F11:F12)</f>
        <v>5</v>
      </c>
      <c r="G14" s="76" t="n">
        <f>SUM(G11:G12)</f>
        <v>0</v>
      </c>
      <c r="H14" s="77" t="n">
        <f>SUM(H11:H12)</f>
        <v>8</v>
      </c>
    </row>
    <row r="15" spans="1:8">
      <c r="A15" s="61"/>
      <c r="B15" s="78"/>
      <c r="C15" s="61"/>
      <c r="D15" s="79"/>
      <c r="E15" s="80"/>
      <c r="F15" s="80"/>
      <c r="G15" s="80"/>
      <c r="H15" s="80"/>
    </row>
    <row r="16" spans="1:8">
      <c r="A16" s="61"/>
      <c r="B16" s="61"/>
      <c r="C16" s="81" t="s">
        <v>51</v>
      </c>
      <c r="D16" s="61"/>
      <c r="E16" s="82" t="n">
        <f>IF(H14-G14=0,0,(D14+E14)*100/(H14-G14))</f>
        <v>37.5</v>
      </c>
      <c r="F16" s="61" t="s">
        <v>52</v>
      </c>
      <c r="G16" s="61"/>
      <c r="H16" s="36"/>
    </row>
    <row r="17" spans="1:8">
      <c r="A17" s="61"/>
      <c r="B17" s="61"/>
      <c r="C17" s="81" t="s">
        <v>53</v>
      </c>
      <c r="D17" s="61"/>
      <c r="E17" s="82" t="n">
        <f>IF(H14-G14=0,0,D14*100/(H14-G14))</f>
        <v>37.5</v>
      </c>
      <c r="F17" s="61" t="s">
        <v>52</v>
      </c>
      <c r="G17" s="61"/>
      <c r="H17" s="36"/>
    </row>
    <row r="18" spans="1:8">
      <c r="C18" s="61"/>
      <c r="D18" s="61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honeticPr fontId="0" type="noConversion"/>
  <pageMargins left="0.74791666666666667" right="0.74791666666666667" top="0.98402777777777783" bottom="0.98402777777777772" header="0.51180555555555562" footer="0.5"/>
  <pageSetup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19"/>
  <sheetViews>
    <sheetView zoomScale="85" zoomScaleNormal="85" workbookViewId="0">
      <pane ySplit="10" topLeftCell="A11" activePane="bottomLeft" state="frozen"/>
      <selection pane="bottomLeft" activeCell="E23" sqref="E23"/>
    </sheetView>
  </sheetViews>
  <sheetFormatPr baseColWidth="10" defaultColWidth="9" defaultRowHeight="13" outlineLevelRow="1" outlineLevelCol="1"/>
  <cols>
    <col min="1" max="1" width="17" style="1" customWidth="1"/>
    <col min="2" max="2" width="34.5" style="1" customWidth="1"/>
    <col min="3" max="3" width="34.1640625" style="1" customWidth="1"/>
    <col min="4" max="4" width="34.6640625" style="1" customWidth="1"/>
    <col min="5" max="5" width="28.33203125" style="1" customWidth="1"/>
    <col min="6" max="6" width="9.33203125" style="1" customWidth="1"/>
    <col min="7" max="7" width="10.6640625" style="1" customWidth="1" outlineLevel="1"/>
    <col min="8" max="8" width="7" style="29" bestFit="1" customWidth="1" outlineLevel="1"/>
    <col min="9" max="9" width="9.33203125" style="1" customWidth="1"/>
    <col min="10" max="10" width="10.6640625" style="1" customWidth="1" outlineLevel="1"/>
    <col min="11" max="11" width="7" style="29" bestFit="1" customWidth="1" outlineLevel="1"/>
    <col min="12" max="12" width="9.33203125" style="1" customWidth="1"/>
    <col min="13" max="13" width="10.6640625" style="1" customWidth="1" outlineLevel="1"/>
    <col min="14" max="14" width="7" style="29" bestFit="1" customWidth="1" outlineLevel="1"/>
    <col min="15" max="15" width="28.6640625" style="29" customWidth="1"/>
    <col min="16" max="16" width="10.1640625" style="1" customWidth="1"/>
    <col min="17" max="17" width="8.1640625" style="30" customWidth="1"/>
    <col min="18" max="18" width="7.6640625" style="1" hidden="1" customWidth="1"/>
    <col min="19" max="16384" width="9" style="1"/>
  </cols>
  <sheetData>
    <row r="1" spans="1:18" ht="14" thickBot="1"/>
    <row r="2" spans="1:18" s="32" customFormat="1" ht="15" customHeight="1">
      <c r="A2" s="99" t="s">
        <v>58</v>
      </c>
      <c r="B2" s="109" t="str">
        <v>Authentication IT</v>
      </c>
      <c r="C2" s="109"/>
      <c r="D2" s="109"/>
      <c r="E2" s="110"/>
      <c r="F2" s="89"/>
      <c r="G2" s="83"/>
      <c r="H2" s="33"/>
      <c r="I2" s="89"/>
      <c r="J2" s="83"/>
      <c r="K2" s="33"/>
      <c r="L2" s="89"/>
      <c r="M2" s="83"/>
      <c r="N2" s="33"/>
      <c r="O2" s="33"/>
      <c r="P2" s="9"/>
      <c r="Q2" s="31"/>
      <c r="R2" s="32" t="s">
        <v>62</v>
      </c>
    </row>
    <row r="3" spans="1:18" s="32" customFormat="1" ht="14">
      <c r="A3" s="100" t="s">
        <v>29</v>
      </c>
      <c r="B3" s="111" t="str">
        <v>Real HTTP, hash and JWT; fake SQL/email.</v>
      </c>
      <c r="C3" s="111"/>
      <c r="D3" s="111"/>
      <c r="E3" s="112"/>
      <c r="F3" s="89"/>
      <c r="G3" s="83"/>
      <c r="H3" s="33"/>
      <c r="I3" s="89"/>
      <c r="J3" s="83"/>
      <c r="K3" s="33"/>
      <c r="L3" s="89"/>
      <c r="M3" s="83"/>
      <c r="N3" s="33"/>
      <c r="O3" s="33"/>
      <c r="P3" s="9"/>
      <c r="Q3" s="31"/>
      <c r="R3" s="32" t="s">
        <v>63</v>
      </c>
    </row>
    <row r="4" spans="1:18" s="32" customFormat="1" ht="18" customHeight="1">
      <c r="A4" s="100" t="s">
        <v>76</v>
      </c>
      <c r="B4" s="111" t="n">
        <f>COUNTA(A12:A14)</f>
        <v>3</v>
      </c>
      <c r="C4" s="111"/>
      <c r="D4" s="111"/>
      <c r="E4" s="112"/>
      <c r="F4" s="89"/>
      <c r="G4" s="83"/>
      <c r="H4" s="33"/>
      <c r="I4" s="89"/>
      <c r="J4" s="83"/>
      <c r="K4" s="33"/>
      <c r="L4" s="89"/>
      <c r="M4" s="83"/>
      <c r="N4" s="33"/>
      <c r="O4" s="33"/>
      <c r="P4" s="9"/>
      <c r="Q4" s="31"/>
      <c r="R4" s="32" t="s">
        <v>61</v>
      </c>
    </row>
    <row r="5" spans="1:18" s="32" customFormat="1" ht="19.5" customHeight="1">
      <c r="A5" s="93" t="s">
        <v>64</v>
      </c>
      <c r="B5" s="91" t="s">
        <v>62</v>
      </c>
      <c r="C5" s="91" t="s">
        <v>63</v>
      </c>
      <c r="D5" s="91" t="s">
        <v>61</v>
      </c>
      <c r="E5" s="94" t="s">
        <v>32</v>
      </c>
      <c r="F5" s="84"/>
      <c r="G5" s="84"/>
      <c r="H5" s="34"/>
      <c r="I5" s="84"/>
      <c r="J5" s="84"/>
      <c r="K5" s="34"/>
      <c r="L5" s="84"/>
      <c r="M5" s="84"/>
      <c r="N5" s="34"/>
      <c r="O5" s="34"/>
      <c r="P5" s="34"/>
      <c r="Q5" s="35"/>
      <c r="R5" s="32" t="s">
        <v>32</v>
      </c>
    </row>
    <row r="6" spans="1:18" s="32" customFormat="1" ht="15" customHeight="1">
      <c r="A6" s="93" t="s">
        <v>65</v>
      </c>
      <c r="B6" s="92" t="n">
        <f>COUNTIF($F$12:$F$998,B$5)</f>
        <v>3</v>
      </c>
      <c r="C6" s="92" t="n">
        <f t="shared" ref="C6:E6" si="0">COUNTIF($F$12:$F$998,C$5)</f>
        <v>0</v>
      </c>
      <c r="D6" s="92" t="n">
        <f t="shared" si="0">COUNTIF($F$12:$F$998,D$5)</f>
        <v>0</v>
      </c>
      <c r="E6" s="98" t="n">
        <f t="shared" si="0">COUNTIF($F$12:$F$998,E$5)</f>
        <v>0</v>
      </c>
      <c r="F6" s="85"/>
      <c r="G6" s="85"/>
      <c r="H6" s="34"/>
      <c r="I6" s="85"/>
      <c r="J6" s="85"/>
      <c r="K6" s="34"/>
      <c r="L6" s="85"/>
      <c r="M6" s="85"/>
      <c r="N6" s="34"/>
      <c r="O6" s="34"/>
      <c r="P6" s="34"/>
      <c r="Q6" s="35"/>
    </row>
    <row r="7" spans="1:18" s="32" customFormat="1" ht="15" customHeight="1">
      <c r="A7" s="93" t="s">
        <v>67</v>
      </c>
      <c r="B7" s="92" t="n">
        <f>COUNTIF($I$12:$I$998,B$5)</f>
        <v>0</v>
      </c>
      <c r="C7" s="92" t="n">
        <f t="shared" ref="C7:E7" si="1">COUNTIF($I$12:$I$998,C$5)</f>
        <v>0</v>
      </c>
      <c r="D7" s="92" t="n">
        <f t="shared" si="1">COUNTIF($I$12:$I$998,D$5)</f>
        <v>0</v>
      </c>
      <c r="E7" s="98" t="n">
        <f t="shared" si="1">COUNTIF($I$12:$I$998,E$5)</f>
        <v>0</v>
      </c>
      <c r="F7" s="85"/>
      <c r="G7" s="85"/>
      <c r="H7" s="34"/>
      <c r="I7" s="85"/>
      <c r="J7" s="85"/>
      <c r="K7" s="34"/>
      <c r="L7" s="85"/>
      <c r="M7" s="85"/>
      <c r="N7" s="34"/>
      <c r="O7" s="34"/>
      <c r="P7" s="34"/>
      <c r="Q7" s="35"/>
    </row>
    <row r="8" spans="1:18" s="32" customFormat="1" ht="15" customHeight="1" thickBot="1">
      <c r="A8" s="95" t="s">
        <v>68</v>
      </c>
      <c r="B8" s="96" t="n">
        <f>COUNTIF($L$12:$L$998,B$5)</f>
        <v>0</v>
      </c>
      <c r="C8" s="96" t="n">
        <f t="shared" ref="C8:E8" si="2">COUNTIF($L$12:$L$998,C$5)</f>
        <v>0</v>
      </c>
      <c r="D8" s="96" t="n">
        <f t="shared" si="2">COUNTIF($L$12:$L$998,D$5)</f>
        <v>0</v>
      </c>
      <c r="E8" s="97" t="n">
        <f t="shared" si="2">COUNTIF($L$12:$L$998,E$5)</f>
        <v>0</v>
      </c>
      <c r="F8" s="85"/>
      <c r="G8" s="85"/>
      <c r="H8" s="34"/>
      <c r="I8" s="85"/>
      <c r="J8" s="85"/>
      <c r="K8" s="34"/>
      <c r="L8" s="85"/>
      <c r="M8" s="85"/>
      <c r="N8" s="34"/>
      <c r="O8" s="34"/>
      <c r="P8" s="34"/>
      <c r="Q8" s="35"/>
    </row>
    <row r="9" spans="1:18" s="32" customFormat="1" ht="15" customHeight="1">
      <c r="A9" s="34"/>
      <c r="B9" s="34"/>
      <c r="C9" s="34"/>
      <c r="D9" s="34"/>
      <c r="E9" s="34"/>
      <c r="F9" s="36"/>
      <c r="G9" s="34"/>
      <c r="H9" s="34"/>
      <c r="I9" s="36"/>
      <c r="J9" s="34"/>
      <c r="K9" s="34"/>
      <c r="L9" s="36"/>
      <c r="M9" s="34"/>
      <c r="N9" s="34"/>
      <c r="O9" s="34"/>
      <c r="P9" s="34"/>
      <c r="Q9" s="35"/>
    </row>
    <row r="10" spans="1:18" s="32" customFormat="1" ht="25.5" customHeight="1">
      <c r="A10" s="90" t="s">
        <v>75</v>
      </c>
      <c r="B10" s="90" t="s">
        <v>33</v>
      </c>
      <c r="C10" s="90" t="s">
        <v>55</v>
      </c>
      <c r="D10" s="90" t="s">
        <v>54</v>
      </c>
      <c r="E10" s="90" t="s">
        <v>66</v>
      </c>
      <c r="F10" s="90" t="s">
        <v>65</v>
      </c>
      <c r="G10" s="90" t="s">
        <v>34</v>
      </c>
      <c r="H10" s="90" t="s">
        <v>31</v>
      </c>
      <c r="I10" s="90" t="s">
        <v>67</v>
      </c>
      <c r="J10" s="90" t="s">
        <v>34</v>
      </c>
      <c r="K10" s="90" t="s">
        <v>31</v>
      </c>
      <c r="L10" s="90" t="s">
        <v>68</v>
      </c>
      <c r="M10" s="90" t="s">
        <v>34</v>
      </c>
      <c r="N10" s="90" t="s">
        <v>31</v>
      </c>
      <c r="O10" s="90" t="s">
        <v>35</v>
      </c>
      <c r="Q10" s="37"/>
    </row>
    <row r="11" spans="1:18" s="32" customFormat="1" ht="15.75" customHeight="1">
      <c r="A11" s="86" t="str">
        <v>Component integration</v>
      </c>
      <c r="B11" s="86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8"/>
      <c r="Q11" s="41"/>
    </row>
    <row r="12" spans="1:18" s="47" customFormat="1" ht="145" customHeight="1" outlineLevel="1">
      <c r="A12" s="42" t="str">
        <v>I01</v>
      </c>
      <c r="B12" s="43" t="str">
        <v>Register account and deliver stored OTP</v>
      </c>
      <c r="C12" s="43" t="str">
        <v>1. Reset fake DB and email mock.
2. POST /register with Integration User, integration@example.com, Aa12345!, EMPLOYER.</v>
      </c>
      <c r="D12" s="44" t="str">
        <v>201; bcrypt verifies stored hash; returned OTP = stored OTP; email mock receives email, OTP and name.</v>
      </c>
      <c r="E12" s="44" t="str">
        <v>Express test app; real bcrypt/JWT; empty stateful fake DB.</v>
      </c>
      <c r="F12" s="42" t="str">
        <v>Passed</v>
      </c>
      <c r="G12" s="153" t="d">
        <v>2026-10-12T00:00:00.000Z</v>
      </c>
      <c r="H12" s="42" t="str">
        <v>Jest</v>
      </c>
      <c r="I12" s="42"/>
      <c r="J12" s="42"/>
      <c r="K12" s="42"/>
      <c r="L12" s="42"/>
      <c r="M12" s="42"/>
      <c r="N12" s="42"/>
      <c r="O12" s="45" t="str">
        <v>4 assertions; isolated HTTP test app, not production router.</v>
      </c>
      <c r="Q12" s="46"/>
    </row>
    <row r="13" spans="1:18" ht="145" outlineLevel="1" customHeight="1">
      <c r="A13" s="42" t="str">
        <v>I02</v>
      </c>
      <c r="B13" s="42" t="str">
        <v>Recover forgotten password with real hash</v>
      </c>
      <c r="C13" s="42" t="str">
        <v>1. Register an isolated EMPLOYER account.
2. POST /forgot-password with its email.
3. POST /reset-password using returned resetToken and newPassword Bb12345!.</v>
      </c>
      <c r="D13" s="48" t="str">
        <v>200; new password matches real bcrypt hash; old password no longer matches; reset token marked used.</v>
      </c>
      <c r="E13" s="48" t="str">
        <v>Fresh fake SQL state and email mock; real bcrypt; valid unused reset token from this case.</v>
      </c>
      <c r="F13" s="42" t="str">
        <v>Passed</v>
      </c>
      <c r="G13" s="153" t="d">
        <v>2026-10-12T00:00:00.000Z</v>
      </c>
      <c r="H13" s="42" t="str">
        <v>Jest</v>
      </c>
      <c r="I13" s="42"/>
      <c r="J13" s="42"/>
      <c r="K13" s="42"/>
      <c r="L13" s="42"/>
      <c r="M13" s="42"/>
      <c r="N13" s="42"/>
      <c r="O13" s="45" t="str">
        <v>4 assertions; forgot-password is workflow setup, not a fourth selected unit function.</v>
      </c>
      <c r="Q13" s="46"/>
    </row>
    <row r="14" spans="1:18" ht="145" outlineLevel="1" customHeight="1">
      <c r="A14" s="42" t="str">
        <v>I03</v>
      </c>
      <c r="B14" s="42" t="str">
        <v>Recovered account login and token replay rejection</v>
      </c>
      <c r="C14" s="42" t="str">
        <v>1. Register and verify account as setup.
2. Request reset token and reset to Bb12345!.
3. Login with new password.
4. Replay the same reset request.</v>
      </c>
      <c r="D14" s="48" t="str">
        <v>Login 200; real JWT has userId 1 and EMPLOYER role; JWT persisted; reset replay 400.</v>
      </c>
      <c r="E14" s="48" t="str">
        <v>Real bcrypt/JWT; stateful fake SQL; isolated verified account; own reset token.</v>
      </c>
      <c r="F14" s="42" t="str">
        <v>Passed</v>
      </c>
      <c r="G14" s="153" t="d">
        <v>2026-10-12T00:00:00.000Z</v>
      </c>
      <c r="H14" s="42" t="str">
        <v>Jest</v>
      </c>
      <c r="I14" s="42"/>
      <c r="J14" s="42"/>
      <c r="K14" s="42"/>
      <c r="L14" s="42"/>
      <c r="M14" s="42"/>
      <c r="N14" s="42"/>
      <c r="O14" s="45" t="str">
        <v>4 assertions; SQL predicate simulation is not proof of real SQL isolation/concurrency.</v>
      </c>
      <c r="Q14" s="46"/>
    </row>
    <row r="15" spans="1:18" s="32" customFormat="1" ht="15.75" customHeight="1">
      <c r="A15" s="86"/>
      <c r="B15" s="38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40"/>
      <c r="Q15" s="41"/>
    </row>
    <row r="16" spans="1:18" ht="14" outlineLevel="1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5"/>
      <c r="Q16" s="46"/>
    </row>
    <row r="17" spans="1:17" ht="14" outlineLevel="1">
      <c r="A17" s="42"/>
      <c r="B17" s="42"/>
      <c r="C17" s="42"/>
      <c r="D17" s="42"/>
      <c r="E17" s="42"/>
      <c r="F17" s="42"/>
      <c r="G17" s="49"/>
      <c r="H17" s="49"/>
      <c r="I17" s="42"/>
      <c r="J17" s="49"/>
      <c r="K17" s="49"/>
      <c r="L17" s="42"/>
      <c r="M17" s="49"/>
      <c r="N17" s="49"/>
      <c r="O17" s="50"/>
      <c r="Q17" s="51"/>
    </row>
    <row r="18" spans="1:17" s="32" customFormat="1" ht="15.75" customHeight="1">
      <c r="A18" s="86"/>
      <c r="B18" s="38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40"/>
      <c r="Q18" s="41"/>
    </row>
    <row r="19" spans="1:17" ht="14" outlineLevel="1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5"/>
      <c r="Q19" s="46"/>
    </row>
  </sheetData>
  <mergeCells count="3">
    <mergeCell ref="B2:E2"/>
    <mergeCell ref="B4:E4"/>
    <mergeCell ref="B3:E3"/>
  </mergeCells>
  <phoneticPr fontId="0" type="noConversion"/>
  <dataValidations disablePrompts="1" count="2">
    <dataValidation type="list" allowBlank="1" showErrorMessage="1" sqref="G2:G3 G9 G20:G147 I12:I19 J2:J3 J9 J20:J147 F12:F19 M2:M3 M9 M20:M147 L12:L19" xr:uid="{00000000-0002-0000-0200-000000000000}">
      <formula1>$R$2:$R$5</formula1>
      <formula2>0</formula2>
    </dataValidation>
    <dataValidation allowBlank="1" showErrorMessage="1" sqref="F10 I10 L10" xr:uid="{08AF428C-8A3C-764D-8BC9-663BD25ECDEB}"/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93D8D-BD9B-1543-9B0A-1ADE76A24277}">
  <sheetPr>
    <outlinePr summaryBelow="0" summaryRight="0"/>
  </sheetPr>
  <dimension ref="A1:R18"/>
  <sheetViews>
    <sheetView zoomScale="85" zoomScaleNormal="85" workbookViewId="0">
      <pane ySplit="10" topLeftCell="A11" activePane="bottomLeft" state="frozen"/>
      <selection pane="bottomLeft" activeCell="D12" sqref="D12"/>
    </sheetView>
  </sheetViews>
  <sheetFormatPr baseColWidth="10" defaultColWidth="9" defaultRowHeight="13" outlineLevelRow="1" outlineLevelCol="1"/>
  <cols>
    <col min="1" max="1" width="17" style="1" customWidth="1"/>
    <col min="2" max="2" width="34.5" style="1" customWidth="1"/>
    <col min="3" max="3" width="33.33203125" style="1" customWidth="1"/>
    <col min="4" max="4" width="34.6640625" style="1" customWidth="1"/>
    <col min="5" max="5" width="28.33203125" style="1" customWidth="1"/>
    <col min="6" max="6" width="9.33203125" style="1" customWidth="1"/>
    <col min="7" max="7" width="10.6640625" style="1" customWidth="1" outlineLevel="1"/>
    <col min="8" max="8" width="7" style="29" bestFit="1" customWidth="1" outlineLevel="1"/>
    <col min="9" max="9" width="9.33203125" style="1" customWidth="1"/>
    <col min="10" max="10" width="10.6640625" style="1" customWidth="1" outlineLevel="1"/>
    <col min="11" max="11" width="7" style="29" bestFit="1" customWidth="1" outlineLevel="1"/>
    <col min="12" max="12" width="9.33203125" style="1" customWidth="1"/>
    <col min="13" max="13" width="10.6640625" style="1" customWidth="1" outlineLevel="1"/>
    <col min="14" max="14" width="7" style="29" bestFit="1" customWidth="1" outlineLevel="1"/>
    <col min="15" max="15" width="28.6640625" style="29" customWidth="1"/>
    <col min="16" max="16" width="10.1640625" style="1" customWidth="1"/>
    <col min="17" max="17" width="8.1640625" style="30" customWidth="1"/>
    <col min="18" max="18" width="7.6640625" style="1" hidden="1" customWidth="1"/>
    <col min="19" max="16384" width="9" style="1"/>
  </cols>
  <sheetData>
    <row r="1" spans="1:18" ht="14" thickBot="1"/>
    <row r="2" spans="1:18" s="32" customFormat="1" ht="15" customHeight="1">
      <c r="A2" s="99" t="s">
        <v>58</v>
      </c>
      <c r="B2" s="109" t="str">
        <v>Authentication ST / AT</v>
      </c>
      <c r="C2" s="109"/>
      <c r="D2" s="109"/>
      <c r="E2" s="110"/>
      <c r="F2" s="89"/>
      <c r="G2" s="83"/>
      <c r="H2" s="33"/>
      <c r="I2" s="89"/>
      <c r="J2" s="83"/>
      <c r="K2" s="33"/>
      <c r="L2" s="89"/>
      <c r="M2" s="83"/>
      <c r="N2" s="33"/>
      <c r="O2" s="33"/>
      <c r="P2" s="9"/>
      <c r="Q2" s="31"/>
      <c r="R2" s="32" t="s">
        <v>62</v>
      </c>
    </row>
    <row r="3" spans="1:18" s="32" customFormat="1" ht="14">
      <c r="A3" s="100" t="s">
        <v>29</v>
      </c>
      <c r="B3" s="111" t="str">
        <v>Real staging / representative required; not executed.</v>
      </c>
      <c r="C3" s="111"/>
      <c r="D3" s="111"/>
      <c r="E3" s="112"/>
      <c r="F3" s="89"/>
      <c r="G3" s="83"/>
      <c r="H3" s="33"/>
      <c r="I3" s="89"/>
      <c r="J3" s="83"/>
      <c r="K3" s="33"/>
      <c r="L3" s="89"/>
      <c r="M3" s="83"/>
      <c r="N3" s="33"/>
      <c r="O3" s="33"/>
      <c r="P3" s="9"/>
      <c r="Q3" s="31"/>
      <c r="R3" s="32" t="s">
        <v>63</v>
      </c>
    </row>
    <row r="4" spans="1:18" s="32" customFormat="1" ht="18" customHeight="1">
      <c r="A4" s="100" t="s">
        <v>76</v>
      </c>
      <c r="B4" s="111" t="n">
        <f>COUNTA(A12:A14)+COUNTA(A16:A17)</f>
        <v>5</v>
      </c>
      <c r="C4" s="111"/>
      <c r="D4" s="111"/>
      <c r="E4" s="112"/>
      <c r="F4" s="89"/>
      <c r="G4" s="83"/>
      <c r="H4" s="33"/>
      <c r="I4" s="89"/>
      <c r="J4" s="83"/>
      <c r="K4" s="33"/>
      <c r="L4" s="89"/>
      <c r="M4" s="83"/>
      <c r="N4" s="33"/>
      <c r="O4" s="33"/>
      <c r="P4" s="9"/>
      <c r="Q4" s="31"/>
      <c r="R4" s="32" t="s">
        <v>61</v>
      </c>
    </row>
    <row r="5" spans="1:18" s="32" customFormat="1" ht="19.5" customHeight="1">
      <c r="A5" s="93" t="s">
        <v>64</v>
      </c>
      <c r="B5" s="91" t="s">
        <v>62</v>
      </c>
      <c r="C5" s="91" t="s">
        <v>63</v>
      </c>
      <c r="D5" s="91" t="s">
        <v>61</v>
      </c>
      <c r="E5" s="94" t="s">
        <v>32</v>
      </c>
      <c r="F5" s="84"/>
      <c r="G5" s="84"/>
      <c r="H5" s="34"/>
      <c r="I5" s="84"/>
      <c r="J5" s="84"/>
      <c r="K5" s="34"/>
      <c r="L5" s="84"/>
      <c r="M5" s="84"/>
      <c r="N5" s="34"/>
      <c r="O5" s="34"/>
      <c r="P5" s="34"/>
      <c r="Q5" s="35"/>
      <c r="R5" s="32" t="s">
        <v>32</v>
      </c>
    </row>
    <row r="6" spans="1:18" s="32" customFormat="1" ht="15" customHeight="1">
      <c r="A6" s="93" t="s">
        <v>65</v>
      </c>
      <c r="B6" s="92" t="n">
        <f>COUNTIF($F$12:$F$998,B$5)</f>
        <v>0</v>
      </c>
      <c r="C6" s="92" t="n">
        <f>COUNTIF($F$12:$F$998,C$5)</f>
        <v>0</v>
      </c>
      <c r="D6" s="92" t="n">
        <f>COUNTIF($F$12:$F$998,D$5)</f>
        <v>5</v>
      </c>
      <c r="E6" s="98" t="n">
        <f>COUNTIF($F$12:$F$998,E$5)</f>
        <v>0</v>
      </c>
      <c r="F6" s="85"/>
      <c r="G6" s="85"/>
      <c r="H6" s="34"/>
      <c r="I6" s="85"/>
      <c r="J6" s="85"/>
      <c r="K6" s="34"/>
      <c r="L6" s="85"/>
      <c r="M6" s="85"/>
      <c r="N6" s="34"/>
      <c r="O6" s="34"/>
      <c r="P6" s="34"/>
      <c r="Q6" s="35"/>
    </row>
    <row r="7" spans="1:18" s="32" customFormat="1" ht="15" customHeight="1">
      <c r="A7" s="93" t="s">
        <v>67</v>
      </c>
      <c r="B7" s="92" t="n">
        <f>COUNTIF($I$12:$I$998,B$5)</f>
        <v>0</v>
      </c>
      <c r="C7" s="92" t="n">
        <f>COUNTIF($I$12:$I$998,C$5)</f>
        <v>0</v>
      </c>
      <c r="D7" s="92" t="n">
        <f>COUNTIF($I$12:$I$998,D$5)</f>
        <v>0</v>
      </c>
      <c r="E7" s="98" t="n">
        <f>COUNTIF($I$12:$I$998,E$5)</f>
        <v>0</v>
      </c>
      <c r="F7" s="85"/>
      <c r="G7" s="85"/>
      <c r="H7" s="34"/>
      <c r="I7" s="85"/>
      <c r="J7" s="85"/>
      <c r="K7" s="34"/>
      <c r="L7" s="85"/>
      <c r="M7" s="85"/>
      <c r="N7" s="34"/>
      <c r="O7" s="34"/>
      <c r="P7" s="34"/>
      <c r="Q7" s="35"/>
    </row>
    <row r="8" spans="1:18" s="32" customFormat="1" ht="15" customHeight="1" thickBot="1">
      <c r="A8" s="95" t="s">
        <v>68</v>
      </c>
      <c r="B8" s="96" t="n">
        <f>COUNTIF($L$12:$L$998,B$5)</f>
        <v>0</v>
      </c>
      <c r="C8" s="96" t="n">
        <f>COUNTIF($L$12:$L$998,C$5)</f>
        <v>0</v>
      </c>
      <c r="D8" s="96" t="n">
        <f>COUNTIF($L$12:$L$998,D$5)</f>
        <v>0</v>
      </c>
      <c r="E8" s="97" t="n">
        <f>COUNTIF($L$12:$L$998,E$5)</f>
        <v>0</v>
      </c>
      <c r="F8" s="85"/>
      <c r="G8" s="85"/>
      <c r="H8" s="34"/>
      <c r="I8" s="85"/>
      <c r="J8" s="85"/>
      <c r="K8" s="34"/>
      <c r="L8" s="85"/>
      <c r="M8" s="85"/>
      <c r="N8" s="34"/>
      <c r="O8" s="34"/>
      <c r="P8" s="34"/>
      <c r="Q8" s="35"/>
    </row>
    <row r="9" spans="1:18" s="32" customFormat="1" ht="15" customHeight="1">
      <c r="A9" s="34"/>
      <c r="B9" s="34"/>
      <c r="C9" s="34"/>
      <c r="D9" s="34"/>
      <c r="E9" s="34"/>
      <c r="F9" s="36"/>
      <c r="G9" s="34"/>
      <c r="H9" s="34"/>
      <c r="I9" s="36"/>
      <c r="J9" s="34"/>
      <c r="K9" s="34"/>
      <c r="L9" s="36"/>
      <c r="M9" s="34"/>
      <c r="N9" s="34"/>
      <c r="O9" s="34"/>
      <c r="P9" s="34"/>
      <c r="Q9" s="35"/>
    </row>
    <row r="10" spans="1:18" s="32" customFormat="1" ht="25.5" customHeight="1">
      <c r="A10" s="90" t="s">
        <v>75</v>
      </c>
      <c r="B10" s="90" t="s">
        <v>33</v>
      </c>
      <c r="C10" s="90" t="s">
        <v>55</v>
      </c>
      <c r="D10" s="90" t="s">
        <v>54</v>
      </c>
      <c r="E10" s="90" t="s">
        <v>66</v>
      </c>
      <c r="F10" s="90" t="s">
        <v>65</v>
      </c>
      <c r="G10" s="90" t="s">
        <v>34</v>
      </c>
      <c r="H10" s="90" t="s">
        <v>31</v>
      </c>
      <c r="I10" s="90" t="s">
        <v>67</v>
      </c>
      <c r="J10" s="90" t="s">
        <v>34</v>
      </c>
      <c r="K10" s="90" t="s">
        <v>31</v>
      </c>
      <c r="L10" s="90" t="s">
        <v>68</v>
      </c>
      <c r="M10" s="90" t="s">
        <v>34</v>
      </c>
      <c r="N10" s="90" t="s">
        <v>31</v>
      </c>
      <c r="O10" s="90" t="s">
        <v>35</v>
      </c>
      <c r="Q10" s="37"/>
    </row>
    <row r="11" spans="1:18" s="32" customFormat="1" ht="15.75" customHeight="1">
      <c r="A11" s="86" t="str">
        <v>System tests (planned)</v>
      </c>
      <c r="B11" s="86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8"/>
      <c r="Q11" s="41"/>
    </row>
    <row r="12" spans="1:18" s="47" customFormat="1" ht="145" customHeight="1" outlineLevel="1">
      <c r="A12" s="42" t="str">
        <v>ST-01</v>
      </c>
      <c r="B12" s="43" t="str">
        <v>Reject weak registration password</v>
      </c>
      <c r="C12" s="43" t="str">
        <v>1. Open staging registration.
2. Use a new controlled email and role FREELANCER.
3. Submit Aa1234! then Aa12345!.</v>
      </c>
      <c r="D12" s="44" t="str">
        <v>7 chars: API 400 and clear validation message, no account created.
8 valid chars: API 201, hashed password and verification record stored.</v>
      </c>
      <c r="E12" s="44" t="str">
        <v>Staging UI/API and SQL Server configured; controlled mailbox; unique email per attempt.</v>
      </c>
      <c r="F12" s="42" t="str">
        <v>Pending</v>
      </c>
      <c r="G12" s="153"/>
      <c r="H12" s="42" t="str"/>
      <c r="I12" s="42"/>
      <c r="J12" s="42"/>
      <c r="K12" s="42"/>
      <c r="L12" s="42"/>
      <c r="M12" s="42"/>
      <c r="N12" s="42"/>
      <c r="O12" s="45" t="str">
        <v>Functional + BVA; verify actual route /api/auth/register.</v>
      </c>
      <c r="Q12" s="46"/>
    </row>
    <row r="13" spans="1:18" ht="145" outlineLevel="1" customHeight="1">
      <c r="A13" s="42" t="str">
        <v>ST-02</v>
      </c>
      <c r="B13" s="42" t="str">
        <v>Reset password and reject used token</v>
      </c>
      <c r="C13" s="42" t="str">
        <v>1. Request recovery via /api/auth/forgot-password.
2. Read code from controlled mailbox.
3. POST /api/auth/reset-password with Bb12345!.
4. Inspect SQL writes and replay code.</v>
      </c>
      <c r="D13" s="48" t="str">
        <v>Initial reset 200; new bcrypt hash saved, token is_used=1; old password fails login, new password succeeds; replay 400.</v>
      </c>
      <c r="E13" s="48" t="str">
        <v>Real staging SQL/email; existing verified account; unused reset token; save fixture for cleanup.</v>
      </c>
      <c r="F13" s="42" t="str">
        <v>Pending</v>
      </c>
      <c r="G13" s="153"/>
      <c r="H13" s="42" t="str"/>
      <c r="I13" s="42"/>
      <c r="J13" s="42"/>
      <c r="K13" s="42"/>
      <c r="L13" s="42"/>
      <c r="M13" s="42"/>
      <c r="N13" s="42"/>
      <c r="O13" s="45" t="str">
        <v>State transitions and real SQL/SMTP; inspect partial-write risk if marking token fails.</v>
      </c>
      <c r="Q13" s="46"/>
    </row>
    <row r="14" spans="1:18" ht="145" outlineLevel="1" customHeight="1">
      <c r="A14" s="42" t="str">
        <v>ST-03</v>
      </c>
      <c r="B14" s="42" t="str">
        <v>Reject locked account login</v>
      </c>
      <c r="C14" s="42" t="str">
        <v>1. Prepare verified staging account with known bcrypt password.
2. Set status=LOCKED.
3. POST /api/auth/login with correct credentials.</v>
      </c>
      <c r="D14" s="48" t="str">
        <v>403 locked/suspended message; no JWT returned and existing refresh token unchanged.</v>
      </c>
      <c r="E14" s="48" t="str">
        <v>Staging SQL; authorized fixture preparation; ACTIVE baseline preserved for cleanup.</v>
      </c>
      <c r="F14" s="42" t="str">
        <v>Pending</v>
      </c>
      <c r="G14" s="153"/>
      <c r="H14" s="42" t="str"/>
      <c r="I14" s="42"/>
      <c r="J14" s="42"/>
      <c r="K14" s="42"/>
      <c r="L14" s="42"/>
      <c r="M14" s="42"/>
      <c r="N14" s="42"/>
      <c r="O14" s="45" t="str">
        <v>Access-control behavior only; not a full penetration/security assessment.</v>
      </c>
      <c r="Q14" s="46"/>
    </row>
    <row r="15" spans="1:18" s="32" customFormat="1" ht="15.75" customHeight="1">
      <c r="A15" s="86" t="str">
        <v>Acceptance tests (planned)</v>
      </c>
      <c r="B15" s="38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40"/>
      <c r="Q15" s="41"/>
    </row>
    <row r="16" spans="1:18" ht="145" outlineLevel="1" customHeight="1">
      <c r="A16" s="42" t="str">
        <v>AT-01</v>
      </c>
      <c r="B16" s="42" t="str">
        <v>Freelancer password recovery and login journey</v>
      </c>
      <c r="C16" s="42" t="str">
        <v>1. Representative user registers FREELANCER via UI.
2. Gets mailbox OTP and verifies.
3. Logs in and reaches permitted user area.
4. Request forgotten-password code, reset to Bb12345! and login with the new password.</v>
      </c>
      <c r="D16" s="42" t="str">
        <v>User can complete journey; role=FREELANCER; profile exists; errors understandable; no password shown. Business representative records acceptance. New password works; old password is rejected; used reset code cannot be replayed.</v>
      </c>
      <c r="E16" s="42" t="str">
        <v>Staging UI/API/SQL/email ready; agreed criteria and representative reviewer; unique test email.</v>
      </c>
      <c r="F16" s="42" t="str">
        <v>Pending</v>
      </c>
      <c r="G16" s="153"/>
      <c r="H16" s="42" t="str"/>
      <c r="I16" s="42"/>
      <c r="J16" s="42"/>
      <c r="K16" s="42"/>
      <c r="L16" s="42"/>
      <c r="M16" s="42"/>
      <c r="N16" s="42"/>
      <c r="O16" s="45" t="str">
        <v>Functional acceptance; representative not nominated; no sign-off claimed.</v>
      </c>
      <c r="Q16" s="46"/>
    </row>
    <row r="17" spans="1:17" ht="145" outlineLevel="1" customHeight="1">
      <c r="A17" s="42" t="str">
        <v>AT-02</v>
      </c>
      <c r="B17" s="42" t="str">
        <v>Employer password recovery and login journey</v>
      </c>
      <c r="C17" s="42" t="str">
        <v>1. Representative registers EMPLOYER in UI.
2. Verifies email then logs in.
3. Checks account role and visible destination.
4. Request forgotten-password code, reset to Bb12345! and login with the new password.</v>
      </c>
      <c r="D17" s="42" t="str">
        <v>Journey succeeds; role=EMPLOYER; no freelancer profile created; permitted destination usable. Reviewer records accept/reject and reason. New password works; old password is rejected; used reset code cannot be replayed.</v>
      </c>
      <c r="E17" s="42" t="str">
        <v>Same staging setup; unique employer test email; agreed role behavior.</v>
      </c>
      <c r="F17" s="42" t="str">
        <v>Pending</v>
      </c>
      <c r="G17" s="154"/>
      <c r="H17" s="49" t="str"/>
      <c r="I17" s="42"/>
      <c r="J17" s="49"/>
      <c r="K17" s="49"/>
      <c r="L17" s="42"/>
      <c r="M17" s="49"/>
      <c r="N17" s="49"/>
      <c r="O17" s="50" t="str">
        <v>Acceptance and focused usability review; no quantitative usability claim.</v>
      </c>
      <c r="Q17" s="51"/>
    </row>
    <row r="18" spans="1:17">
      <c r="A18" s="1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</sheetData>
  <mergeCells count="3">
    <mergeCell ref="B2:E2"/>
    <mergeCell ref="B3:E3"/>
    <mergeCell ref="B4:E4"/>
  </mergeCells>
  <dataValidations count="2">
    <dataValidation allowBlank="1" showErrorMessage="1" sqref="F10 I10 L10" xr:uid="{BA601D90-C760-2A4B-9DCB-05D64CA1BA46}"/>
    <dataValidation type="list" allowBlank="1" showErrorMessage="1" sqref="G2:G3 G9 G18:G145 I12:I17 J2:J3 J9 J18:J145 F12:F17 M2:M3 M9 M18:M145 L12:L17" xr:uid="{CEBB1DD6-5D0C-9A4C-93A4-3065C1A7F369}">
      <formula1>$R$2:$R$5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Test Cases</vt:lpstr>
      <vt:lpstr>Test Statistics</vt:lpstr>
      <vt:lpstr>Feature 1</vt:lpstr>
      <vt:lpstr>Feature 2</vt:lpstr>
    </vt:vector>
  </TitlesOfParts>
  <Company>FSOFT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Kien Nguyen</dc:creator>
  <dc:description>Updates sheet Cover: Add logo, document code, creator, reviewer/approver._x000d_
Add sheet Test Case List._x000d_
Change Sheet Company, User, Provider to Modules. Add column Inter-test case dependent. Update these sheets._x000d_
Update Test Report</dc:description>
  <cp:lastModifiedBy>KienNT</cp:lastModifiedBy>
  <cp:lastPrinted>2010-11-12T10:33:20Z</cp:lastPrinted>
  <dcterms:created xsi:type="dcterms:W3CDTF">2020-03-17T17:34:29Z</dcterms:created>
  <dcterms:modified xsi:type="dcterms:W3CDTF">2021-09-12T14:54:18Z</dcterms:modified>
  <cp:category>BM</cp:category>
</cp:coreProperties>
</file>