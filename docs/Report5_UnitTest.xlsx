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PT Uni\ky5\SWT301\slot 6\outputs\"/>
    </mc:Choice>
  </mc:AlternateContent>
  <xr:revisionPtr revIDLastSave="0" documentId="8_{892CF0D8-F530-4800-8F60-35E9D32C76B8}" xr6:coauthVersionLast="47" xr6:coauthVersionMax="47" xr10:uidLastSave="{00000000-0000-0000-0000-000000000000}"/>
  <bookViews>
    <workbookView xWindow="-108" yWindow="-108" windowWidth="23256" windowHeight="12456" activeTab="3" xr2:uid="{D3D76404-E33F-4117-8CC9-51F9E5FD5C86}"/>
  </bookViews>
  <sheets>
    <sheet name="Guideline" sheetId="1" r:id="rId1"/>
    <sheet name="Cover" sheetId="4" r:id="rId2"/>
    <sheet name="Functions" sheetId="5" r:id="rId3"/>
    <sheet name="Statistics" sheetId="6" r:id="rId4"/>
    <sheet name="Function 1" sheetId="7" r:id="rId5"/>
    <sheet name="Function 2" sheetId="10" r:id="rId6"/>
    <sheet name="Function3" sheetId="11" r:id="rId7"/>
    <sheet name="Example" sheetId="12" r:id="rId8"/>
  </sheets>
  <definedNames>
    <definedName name="ACTION">#REF!</definedName>
    <definedName name="_xlnm.Print_Area" localSheetId="4">'Function 1'!$A$1:$T$53</definedName>
    <definedName name="_xlnm.Print_Area" localSheetId="5">'Function 2'!$A$1:$T$52</definedName>
    <definedName name="_xlnm.Print_Area" localSheetId="6">Function3!$A$1:$T$53</definedName>
    <definedName name="_xlnm.Print_Area" localSheetId="2">Functions!$A$1:$H$39</definedName>
    <definedName name="_xlnm.Print_Area" localSheetId="0">Guideline!$A$1:$A$48</definedName>
    <definedName name="_xlnm.Print_Area" localSheetId="3">Statistics!$A$1:$I$41</definedName>
    <definedName name="Z_2C0D9096_8D85_462A_A9B5_0B488ADB4269_.wvu.Cols" localSheetId="4" hidden="1">'Function 1'!$E:$E</definedName>
    <definedName name="Z_2C0D9096_8D85_462A_A9B5_0B488ADB4269_.wvu.Cols" localSheetId="5" hidden="1">'Function 2'!$E:$E</definedName>
    <definedName name="Z_2C0D9096_8D85_462A_A9B5_0B488ADB4269_.wvu.Cols" localSheetId="6" hidden="1">Function3!$E:$E</definedName>
    <definedName name="Z_2C0D9096_8D85_462A_A9B5_0B488ADB4269_.wvu.PrintArea" localSheetId="3" hidden="1">Statistics!$A:$I</definedName>
    <definedName name="Z_6F1DCD5D_5DAC_4817_BF40_2B66F6F593E6_.wvu.Cols" localSheetId="4" hidden="1">'Function 1'!$E:$E</definedName>
    <definedName name="Z_6F1DCD5D_5DAC_4817_BF40_2B66F6F593E6_.wvu.Cols" localSheetId="5" hidden="1">'Function 2'!$E:$E</definedName>
    <definedName name="Z_6F1DCD5D_5DAC_4817_BF40_2B66F6F593E6_.wvu.Cols" localSheetId="6" hidden="1">Function3!$E:$E</definedName>
    <definedName name="Z_6F1DCD5D_5DAC_4817_BF40_2B66F6F593E6_.wvu.PrintArea" localSheetId="3" hidden="1">Statistics!$A:$I</definedName>
    <definedName name="Z_BE54E0AD_3725_4423_92D7_4F1C045BE1BC_.wvu.Cols" localSheetId="4" hidden="1">'Function 1'!$E:$E</definedName>
    <definedName name="Z_BE54E0AD_3725_4423_92D7_4F1C045BE1BC_.wvu.Cols" localSheetId="5" hidden="1">'Function 2'!$E:$E</definedName>
    <definedName name="Z_BE54E0AD_3725_4423_92D7_4F1C045BE1BC_.wvu.Cols" localSheetId="6" hidden="1">Function3!$E:$E</definedName>
    <definedName name="Z_BE54E0AD_3725_4423_92D7_4F1C045BE1BC_.wvu.PrintArea" localSheetId="3" hidden="1">Statistics!$A:$I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1" l="1"/>
  <c r="H14" i="6" s="1"/>
  <c r="H17" i="6" s="1"/>
  <c r="M7" i="11"/>
  <c r="G14" i="6" s="1"/>
  <c r="L7" i="11"/>
  <c r="F14" i="6" s="1"/>
  <c r="N7" i="10"/>
  <c r="M7" i="10"/>
  <c r="L7" i="10"/>
  <c r="N7" i="7"/>
  <c r="M7" i="7"/>
  <c r="G12" i="6" s="1"/>
  <c r="L7" i="7"/>
  <c r="F12" i="6" s="1"/>
  <c r="F17" i="6" s="1"/>
  <c r="C7" i="11"/>
  <c r="F7" i="11" s="1"/>
  <c r="E14" i="6" s="1"/>
  <c r="A7" i="11"/>
  <c r="C7" i="10"/>
  <c r="D13" i="6" s="1"/>
  <c r="A7" i="10"/>
  <c r="C13" i="6" s="1"/>
  <c r="F7" i="10"/>
  <c r="E13" i="6"/>
  <c r="C7" i="7"/>
  <c r="D12" i="6" s="1"/>
  <c r="A7" i="7"/>
  <c r="C12" i="6" s="1"/>
  <c r="C17" i="6" s="1"/>
  <c r="L2" i="11"/>
  <c r="C2" i="11"/>
  <c r="L2" i="10"/>
  <c r="C2" i="10"/>
  <c r="C2" i="7"/>
  <c r="O7" i="12"/>
  <c r="L4" i="12" s="1"/>
  <c r="N7" i="12"/>
  <c r="M7" i="12"/>
  <c r="L7" i="12"/>
  <c r="A7" i="12"/>
  <c r="F7" i="12"/>
  <c r="C7" i="12"/>
  <c r="L2" i="12"/>
  <c r="C2" i="12"/>
  <c r="O7" i="11"/>
  <c r="I14" i="6" s="1"/>
  <c r="H12" i="6"/>
  <c r="H13" i="6"/>
  <c r="O7" i="7"/>
  <c r="L4" i="7" s="1"/>
  <c r="I12" i="6"/>
  <c r="I17" i="6" s="1"/>
  <c r="O7" i="10"/>
  <c r="I13" i="6"/>
  <c r="G13" i="6"/>
  <c r="F13" i="6"/>
  <c r="L4" i="11"/>
  <c r="L4" i="10"/>
  <c r="B6" i="4"/>
  <c r="E4" i="5"/>
  <c r="E5" i="5"/>
  <c r="B4" i="6"/>
  <c r="B5" i="6"/>
  <c r="B6" i="6" s="1"/>
  <c r="L2" i="7"/>
  <c r="C14" i="6"/>
  <c r="D21" i="6" l="1"/>
  <c r="G17" i="6"/>
  <c r="D22" i="6" s="1"/>
  <c r="D20" i="6"/>
  <c r="D23" i="6"/>
  <c r="D14" i="6"/>
  <c r="D17" i="6" s="1"/>
  <c r="D19" i="6" s="1"/>
  <c r="F7" i="7"/>
  <c r="E12" i="6" s="1"/>
  <c r="E17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0" authorId="0" shapeId="0" xr:uid="{18BC4BB0-3BBE-4FFC-94B6-E9D4C8B19C21}">
      <text>
        <r>
          <rPr>
            <b/>
            <sz val="8"/>
            <color indexed="81"/>
            <rFont val="Tahoma"/>
            <family val="2"/>
          </rPr>
          <t>*A</t>
        </r>
        <r>
          <rPr>
            <sz val="8"/>
            <color indexed="81"/>
            <rFont val="Tahoma"/>
            <family val="2"/>
          </rPr>
          <t xml:space="preserve">: Add
  </t>
        </r>
        <r>
          <rPr>
            <b/>
            <sz val="8"/>
            <color indexed="81"/>
            <rFont val="Tahoma"/>
            <family val="2"/>
          </rPr>
          <t>M</t>
        </r>
        <r>
          <rPr>
            <sz val="8"/>
            <color indexed="81"/>
            <rFont val="Tahoma"/>
            <family val="2"/>
          </rPr>
          <t xml:space="preserve">: Modify
  </t>
        </r>
        <r>
          <rPr>
            <b/>
            <sz val="8"/>
            <color indexed="81"/>
            <rFont val="Tahoma"/>
            <family val="2"/>
          </rPr>
          <t>D</t>
        </r>
        <r>
          <rPr>
            <sz val="8"/>
            <color indexed="81"/>
            <rFont val="Tahoma"/>
            <family val="2"/>
          </rPr>
          <t xml:space="preserve">: Delete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Hoang Anh</author>
    <author>ANa</author>
  </authors>
  <commentList>
    <comment ref="A5" authorId="0" shapeId="0" xr:uid="{F7E519EF-1D6F-4120-92D4-1C75517374DA}">
      <text>
        <r>
          <rPr>
            <sz val="8"/>
            <color indexed="81"/>
            <rFont val="Tahoma"/>
            <family val="2"/>
          </rPr>
          <t xml:space="preserve">Not mandatory
</t>
        </r>
      </text>
    </comment>
    <comment ref="C10" authorId="1" shapeId="0" xr:uid="{ABA724FA-640D-4E61-B2B9-CCDD869A9206}">
      <text>
        <r>
          <rPr>
            <sz val="8"/>
            <color indexed="81"/>
            <rFont val="Tahoma"/>
            <family val="2"/>
          </rPr>
          <t>Not mandatory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Hoang Anh</author>
    <author>ANa</author>
  </authors>
  <commentList>
    <comment ref="A5" authorId="0" shapeId="0" xr:uid="{D5961D5A-6DF0-48C3-AD41-9497B7A846F7}">
      <text>
        <r>
          <rPr>
            <sz val="8"/>
            <color indexed="81"/>
            <rFont val="Tahoma"/>
            <family val="2"/>
          </rPr>
          <t xml:space="preserve">
Not mandatory
</t>
        </r>
      </text>
    </comment>
    <comment ref="C10" authorId="1" shapeId="0" xr:uid="{93B53AE8-B45E-4AC0-BD20-79F61E8E03D8}">
      <text>
        <r>
          <rPr>
            <sz val="8"/>
            <color indexed="81"/>
            <rFont val="Tahoma"/>
            <family val="2"/>
          </rPr>
          <t xml:space="preserve">
Not mandatory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Hoang Anh</author>
    <author>ANa</author>
  </authors>
  <commentList>
    <comment ref="A5" authorId="0" shapeId="0" xr:uid="{340B20AC-D323-4D9B-9998-147B7CBF3A8C}">
      <text>
        <r>
          <rPr>
            <sz val="8"/>
            <color indexed="81"/>
            <rFont val="Tahoma"/>
            <family val="2"/>
          </rPr>
          <t xml:space="preserve">
Not mandatory
</t>
        </r>
      </text>
    </comment>
    <comment ref="C10" authorId="1" shapeId="0" xr:uid="{0F5C2F68-50C3-4AEB-B986-641B92DAF2AD}">
      <text>
        <r>
          <rPr>
            <sz val="8"/>
            <color indexed="81"/>
            <rFont val="Tahoma"/>
            <family val="2"/>
          </rPr>
          <t>Not mandatory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Hoang Anh</author>
    <author>ANa</author>
  </authors>
  <commentList>
    <comment ref="A5" authorId="0" shapeId="0" xr:uid="{FA17C676-54C3-4F02-9C83-52B1FDBE3BA8}">
      <text>
        <r>
          <rPr>
            <sz val="8"/>
            <color indexed="81"/>
            <rFont val="Tahoma"/>
            <family val="2"/>
          </rPr>
          <t xml:space="preserve">Not mandatory
</t>
        </r>
      </text>
    </comment>
    <comment ref="C10" authorId="1" shapeId="0" xr:uid="{F85C78CD-17FB-452B-88A8-72072CD4DF74}">
      <text>
        <r>
          <rPr>
            <sz val="8"/>
            <color indexed="81"/>
            <rFont val="Tahoma"/>
            <family val="2"/>
          </rPr>
          <t xml:space="preserve">
Not mandatory</t>
        </r>
      </text>
    </comment>
  </commentList>
</comments>
</file>

<file path=xl/sharedStrings.xml><?xml version="1.0" encoding="utf-8"?>
<sst xmlns="http://schemas.openxmlformats.org/spreadsheetml/2006/main" count="481" uniqueCount="184">
  <si>
    <t>Project Name</t>
  </si>
  <si>
    <t>&lt;Project Name&gt;</t>
  </si>
  <si>
    <t>Creator</t>
  </si>
  <si>
    <t>Project Code</t>
  </si>
  <si>
    <t>&lt;Project Code&gt;</t>
  </si>
  <si>
    <t>Reviewer/Approver</t>
  </si>
  <si>
    <t>Document Code</t>
  </si>
  <si>
    <t>Issue Date</t>
  </si>
  <si>
    <t>&lt;Date when this test report is created&gt;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</si>
  <si>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</si>
  <si>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</si>
  <si>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</si>
  <si>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</si>
  <si>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</si>
  <si>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</si>
  <si>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</si>
  <si>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&lt;Date when these changes are effective&gt;</t>
  </si>
  <si>
    <t>&lt;List of documents which are refered in this version.&gt;</t>
  </si>
  <si>
    <t>Test Environment Setup Description</t>
  </si>
  <si>
    <t>&lt;List enviroment requires in this system
1. Server
2. Database
3. Web Browser
...
&gt;</t>
  </si>
  <si>
    <t>No</t>
  </si>
  <si>
    <t>Requirement
Name</t>
  </si>
  <si>
    <t>Class Name</t>
  </si>
  <si>
    <t>Function Name</t>
  </si>
  <si>
    <t>Sheet Name</t>
  </si>
  <si>
    <t>Description</t>
  </si>
  <si>
    <t>Pre-Condition</t>
  </si>
  <si>
    <t>Class1</t>
  </si>
  <si>
    <t>Function A</t>
  </si>
  <si>
    <t>Function B</t>
  </si>
  <si>
    <t>Function2</t>
  </si>
  <si>
    <t>UNIT TEST REPORT</t>
  </si>
  <si>
    <t>Notes</t>
  </si>
  <si>
    <t>&lt;List modules included in this release&gt; ex: Release 1 includes 2 modules: Module1 and Module2</t>
  </si>
  <si>
    <t>Passed</t>
  </si>
  <si>
    <t>Failed</t>
  </si>
  <si>
    <t>Untested</t>
  </si>
  <si>
    <t>Total Test Cases</t>
  </si>
  <si>
    <t>Sub total</t>
  </si>
  <si>
    <t>Test coverage</t>
  </si>
  <si>
    <t>%</t>
  </si>
  <si>
    <t>Test successful coverage</t>
  </si>
  <si>
    <t>Normal case</t>
  </si>
  <si>
    <t>Abnormal case</t>
  </si>
  <si>
    <t>Boundary case</t>
  </si>
  <si>
    <t>&lt;Developer Name&gt;</t>
  </si>
  <si>
    <t>UTCID01</t>
  </si>
  <si>
    <t>UTCID02</t>
  </si>
  <si>
    <t>UTCID03</t>
  </si>
  <si>
    <t>UTCID04</t>
  </si>
  <si>
    <t>UTCID05</t>
  </si>
  <si>
    <t>UTCID06</t>
  </si>
  <si>
    <t>UTCID07</t>
  </si>
  <si>
    <t>UTCID08</t>
  </si>
  <si>
    <t>UTCID09</t>
  </si>
  <si>
    <t>UTCID10</t>
  </si>
  <si>
    <t>UTCID11</t>
  </si>
  <si>
    <t>UTCID12</t>
  </si>
  <si>
    <t>UTCID13</t>
  </si>
  <si>
    <t>UTCID14</t>
  </si>
  <si>
    <t>UTCID15</t>
  </si>
  <si>
    <t>Can connect with server</t>
  </si>
  <si>
    <t>"1"</t>
  </si>
  <si>
    <t>""</t>
  </si>
  <si>
    <t>null</t>
  </si>
  <si>
    <t>&gt;=5 &amp; &lt;= 10</t>
  </si>
  <si>
    <t>"success"</t>
  </si>
  <si>
    <t>"input1 is null"</t>
  </si>
  <si>
    <t>Result</t>
  </si>
  <si>
    <t>Type(N : Normal, A : Abnormal, B : Boundary)</t>
  </si>
  <si>
    <t>N</t>
  </si>
  <si>
    <t>B</t>
  </si>
  <si>
    <t>A</t>
  </si>
  <si>
    <t>Passed/Failed</t>
  </si>
  <si>
    <t>P</t>
  </si>
  <si>
    <t>F</t>
  </si>
  <si>
    <t>Executed Date</t>
  </si>
  <si>
    <t>Defect ID</t>
  </si>
  <si>
    <t>DFID002</t>
  </si>
  <si>
    <t>DFID004</t>
  </si>
  <si>
    <t>DFID005</t>
  </si>
  <si>
    <t>DFID006</t>
  </si>
  <si>
    <t>DFID007</t>
  </si>
  <si>
    <t>DFID008</t>
  </si>
  <si>
    <t>DFID009</t>
  </si>
  <si>
    <t>DFID010</t>
  </si>
  <si>
    <t>DFID011</t>
  </si>
  <si>
    <t>DFID012</t>
  </si>
  <si>
    <t xml:space="preserve">Precondition </t>
    <phoneticPr fontId="34" type="noConversion"/>
  </si>
  <si>
    <t>Return</t>
    <phoneticPr fontId="34" type="noConversion"/>
  </si>
  <si>
    <t>Exception</t>
    <phoneticPr fontId="34" type="noConversion"/>
  </si>
  <si>
    <t>Log message</t>
    <phoneticPr fontId="34" type="noConversion"/>
  </si>
  <si>
    <t xml:space="preserve"> </t>
  </si>
  <si>
    <t xml:space="preserve">        - For examples:</t>
  </si>
  <si>
    <t xml:space="preserve">        - Confirmation can include:</t>
  </si>
  <si>
    <t xml:space="preserve">         </t>
  </si>
  <si>
    <t>2.1 Combination of test cases.</t>
  </si>
  <si>
    <t xml:space="preserve">Precondition </t>
    <phoneticPr fontId="34" type="noConversion"/>
  </si>
  <si>
    <t>Input1</t>
    <phoneticPr fontId="34" type="noConversion"/>
  </si>
  <si>
    <t>Input2</t>
    <phoneticPr fontId="34" type="noConversion"/>
  </si>
  <si>
    <t>Return</t>
    <phoneticPr fontId="34" type="noConversion"/>
  </si>
  <si>
    <t>Exception</t>
    <phoneticPr fontId="34" type="noConversion"/>
  </si>
  <si>
    <t>Log message</t>
    <phoneticPr fontId="34" type="noConversion"/>
  </si>
  <si>
    <t>&lt;Brief description about requirements which are tested in this function&gt;</t>
  </si>
  <si>
    <t>Function Code</t>
  </si>
  <si>
    <t>Created By</t>
  </si>
  <si>
    <t>Executed By</t>
  </si>
  <si>
    <t>Lines  of code</t>
  </si>
  <si>
    <t>Lack of test cases</t>
  </si>
  <si>
    <t>Test requirement</t>
  </si>
  <si>
    <t>N/A/B</t>
  </si>
  <si>
    <t>Condition</t>
  </si>
  <si>
    <t xml:space="preserve">Precondition </t>
  </si>
  <si>
    <t>Input1</t>
  </si>
  <si>
    <t>Input2</t>
  </si>
  <si>
    <t>Confirm</t>
  </si>
  <si>
    <t>Return</t>
  </si>
  <si>
    <t>Exception</t>
  </si>
  <si>
    <t>Log message</t>
  </si>
  <si>
    <t>Class2</t>
  </si>
  <si>
    <t>Class3</t>
  </si>
  <si>
    <t>Function C</t>
  </si>
  <si>
    <t>Function3</t>
  </si>
  <si>
    <t xml:space="preserve"> - In the template, Unit test cases are based on functions. Each sheet presents test cases for one function.</t>
  </si>
  <si>
    <t>2. Content in Test function sheet</t>
  </si>
  <si>
    <t>Guideline to make and understand Unit Test Case</t>
  </si>
  <si>
    <t xml:space="preserve">Normal number of Test cases/KLOC </t>
  </si>
  <si>
    <t xml:space="preserve"> 2.2 Condition and confirmation of Test cases.</t>
  </si>
  <si>
    <t xml:space="preserve"> Each test case is the combination of condition and confirmation.</t>
  </si>
  <si>
    <t xml:space="preserve">        - Condition is combination of precondition and values of inputs.</t>
  </si>
  <si>
    <t xml:space="preserve">        - Precondition: it is setting condition that must exist before execution of the test case. 
                    Example: file A is precondition for the test case that needs to access file A.</t>
  </si>
  <si>
    <t xml:space="preserve">        - Values of inputs: it includes 3 types of values: normal, boundary and abnormal.</t>
  </si>
  <si>
    <t xml:space="preserve">                . Normal values are values of inputs used mainly and usually to ensure the function works.</t>
  </si>
  <si>
    <t xml:space="preserve">                . Abnormal values are non-expected values. And normally it processes exception cases.   </t>
  </si>
  <si>
    <t xml:space="preserve">        - It is combination of expected result to check output of each function. 
          If the results are the same with confirmation, the test case is passed, other case it is failed. </t>
  </si>
  <si>
    <t xml:space="preserve">                + Output result of the function.</t>
  </si>
  <si>
    <t xml:space="preserve">                + Output log messages in log file.</t>
  </si>
  <si>
    <t xml:space="preserve">                + Output screen message...</t>
  </si>
  <si>
    <t xml:space="preserve">        - Type of test case: It includes normal, boundary and abnormal test cases. User selects the type based on the type of input data.</t>
  </si>
  <si>
    <t xml:space="preserve"> 2.3. Other items:</t>
  </si>
  <si>
    <t>a</t>
    <phoneticPr fontId="34" type="noConversion"/>
  </si>
  <si>
    <t>b</t>
    <phoneticPr fontId="34" type="noConversion"/>
  </si>
  <si>
    <t>c</t>
    <phoneticPr fontId="44"/>
  </si>
  <si>
    <t xml:space="preserve">list </t>
    <phoneticPr fontId="44"/>
  </si>
  <si>
    <t>null</t>
    <phoneticPr fontId="44"/>
  </si>
  <si>
    <t>size = 0</t>
    <phoneticPr fontId="44"/>
  </si>
  <si>
    <t>O</t>
  </si>
  <si>
    <t>"please input a&gt;= -1"</t>
    <phoneticPr fontId="44"/>
  </si>
  <si>
    <t>{-1/2}</t>
    <phoneticPr fontId="44"/>
  </si>
  <si>
    <t>{1,1}</t>
    <phoneticPr fontId="44"/>
  </si>
  <si>
    <t>{1,-3}</t>
    <phoneticPr fontId="44"/>
  </si>
  <si>
    <t xml:space="preserve"> Function Code(Optional)</t>
  </si>
  <si>
    <t>Function1</t>
  </si>
  <si>
    <t>1. Overview</t>
  </si>
  <si>
    <t xml:space="preserve">            Input value belongs to 5&lt;= input &lt;=10.</t>
  </si>
  <si>
    <t xml:space="preserve">               . 6,7,8,9 are normal values.</t>
  </si>
  <si>
    <t xml:space="preserve">               . 5, 10 are boundary values.</t>
  </si>
  <si>
    <t xml:space="preserve">               . -1, 11,... are abnormal values.   </t>
  </si>
  <si>
    <r>
      <t xml:space="preserve"> - </t>
    </r>
    <r>
      <rPr>
        <b/>
        <sz val="10"/>
        <rFont val="Tahoma"/>
        <family val="2"/>
      </rPr>
      <t>Cover</t>
    </r>
    <r>
      <rPr>
        <sz val="10"/>
        <rFont val="Tahoma"/>
        <family val="2"/>
      </rPr>
      <t>: General information of the project and Unit Test cases</t>
    </r>
  </si>
  <si>
    <r>
      <t xml:space="preserve">        - Test case result: the actual output results comparing with the Confirmation.
                 </t>
    </r>
    <r>
      <rPr>
        <b/>
        <sz val="10"/>
        <rFont val="Tahoma"/>
        <family val="2"/>
      </rPr>
      <t>P</t>
    </r>
    <r>
      <rPr>
        <sz val="10"/>
        <rFont val="Tahoma"/>
        <family val="2"/>
      </rPr>
      <t xml:space="preserve"> for Passed and </t>
    </r>
    <r>
      <rPr>
        <b/>
        <sz val="10"/>
        <rFont val="Tahoma"/>
        <family val="2"/>
      </rPr>
      <t>F</t>
    </r>
    <r>
      <rPr>
        <sz val="10"/>
        <rFont val="Tahoma"/>
        <family val="2"/>
      </rPr>
      <t xml:space="preserve"> for Failed cases.
          It can 'OK' or 'NG' (it depends on habit of the teams or customers)</t>
    </r>
  </si>
  <si>
    <r>
      <t xml:space="preserve"> - </t>
    </r>
    <r>
      <rPr>
        <b/>
        <sz val="10"/>
        <rFont val="Tahoma"/>
        <family val="2"/>
      </rPr>
      <t>Test Report</t>
    </r>
    <r>
      <rPr>
        <sz val="10"/>
        <rFont val="Tahoma"/>
        <family val="2"/>
      </rPr>
      <t>: provive the overview results of Functions Unit test: Test coverage, Test successful coverage 
    (Summary, for normal/abnormal/boundary cases)</t>
    </r>
  </si>
  <si>
    <t xml:space="preserve"> - To verify that number of Unit TC meets customer's requirement or not. User has to fill number LOC of tested function and fill value of 'Normal number test cases/KLOC' item in FunctionList sheet, which is required by customer or normal value. The number of lacked TC is shown in 'Lack of test cases' item.</t>
  </si>
  <si>
    <t xml:space="preserve"> - If the number of Unit TC does not meet the requirement, creator should explain the reasons.</t>
  </si>
  <si>
    <t xml:space="preserve"> - If the number of  'Normal number test cases/KLOC' item in FunctionList sheet is not recorded, the number in 'Lack of test cases' is not calculated.</t>
  </si>
  <si>
    <t>a. Condition:</t>
  </si>
  <si>
    <t xml:space="preserve">b. Confirmation: </t>
  </si>
  <si>
    <t>c. Type of test cases and result:</t>
  </si>
  <si>
    <t xml:space="preserve"> - Function Code: it is ID of the function and updated automatically according to FunctionList sheet.</t>
  </si>
  <si>
    <t xml:space="preserve"> - Function Name: it is name  of the function and updated automatically according to FunctionList sheet.</t>
  </si>
  <si>
    <t xml:space="preserve"> - Created By: Name of creator.</t>
  </si>
  <si>
    <t xml:space="preserve"> - Executed By: Name of person who executes the unit test</t>
  </si>
  <si>
    <t xml:space="preserve"> - Lines of code: Number of Code line of the function.</t>
  </si>
  <si>
    <t xml:space="preserve"> - Test requirement: Brief description about requirements which are tested in this function, it is not mandatory.</t>
  </si>
  <si>
    <r>
      <t xml:space="preserve"> - </t>
    </r>
    <r>
      <rPr>
        <b/>
        <sz val="10"/>
        <rFont val="Tahoma"/>
        <family val="2"/>
      </rPr>
      <t>FunctionList</t>
    </r>
    <r>
      <rPr>
        <sz val="10"/>
        <rFont val="Tahoma"/>
        <family val="2"/>
      </rPr>
      <t xml:space="preserve">: The list of Classes and Functions in the document. 
     + To control that the number of Unit TC meets customer's requirement or the norm, user should fill value for  
     'Normal number of Test cases/KLOC'. </t>
    </r>
  </si>
  <si>
    <t xml:space="preserve">     Note:  Should check the formula of "Sub Total" if you add more functions</t>
  </si>
  <si>
    <t>Function code</t>
  </si>
  <si>
    <r>
      <t xml:space="preserve">     + Click on Function link to open the related Test cases of the function.  
     </t>
    </r>
    <r>
      <rPr>
        <i/>
        <sz val="10"/>
        <rFont val="Tahoma"/>
        <family val="2"/>
      </rPr>
      <t>Note:</t>
    </r>
    <r>
      <rPr>
        <sz val="10"/>
        <rFont val="Tahoma"/>
        <family val="2"/>
      </rPr>
      <t xml:space="preserve"> You should create new Function sheet before creating the link</t>
    </r>
  </si>
  <si>
    <t xml:space="preserve">                . Boundary values are limited values that contain upper and lower values.</t>
  </si>
  <si>
    <t>Date</t>
  </si>
  <si>
    <t>Month</t>
  </si>
  <si>
    <t>Year</t>
  </si>
  <si>
    <t>T</t>
  </si>
  <si>
    <t>Function List</t>
  </si>
  <si>
    <t>UNIT TEST DOCUMENT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</si>
</sst>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90" formatCode="d\-mmm\-yy;@"/>
    <numFmt numFmtId="195" formatCode="mm/dd"/>
  </numFmts>
  <fonts count="57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1"/>
      <color indexed="12"/>
      <name val="ＭＳ Ｐゴシック"/>
      <family val="3"/>
      <charset val="128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name val="ＭＳ ゴシック"/>
      <family val="3"/>
      <charset val="128"/>
    </font>
    <font>
      <b/>
      <sz val="26"/>
      <color indexed="10"/>
      <name val="Tahoma"/>
      <family val="2"/>
    </font>
    <font>
      <b/>
      <sz val="20"/>
      <color indexed="8"/>
      <name val="Tahoma"/>
      <family val="2"/>
    </font>
    <font>
      <sz val="10"/>
      <name val="Tahoma"/>
      <family val="2"/>
    </font>
    <font>
      <b/>
      <sz val="10"/>
      <color indexed="60"/>
      <name val="Tahoma"/>
      <family val="2"/>
    </font>
    <font>
      <i/>
      <sz val="10"/>
      <color indexed="17"/>
      <name val="Tahoma"/>
      <family val="2"/>
    </font>
    <font>
      <b/>
      <sz val="10"/>
      <color indexed="9"/>
      <name val="Tahoma"/>
      <family val="2"/>
    </font>
    <font>
      <b/>
      <sz val="10"/>
      <color indexed="8"/>
      <name val="Tahoma"/>
      <family val="2"/>
    </font>
    <font>
      <b/>
      <sz val="10"/>
      <color indexed="10"/>
      <name val="Tahoma"/>
      <family val="2"/>
    </font>
    <font>
      <b/>
      <sz val="10"/>
      <name val="Tahoma"/>
      <family val="2"/>
    </font>
    <font>
      <u/>
      <sz val="10"/>
      <color indexed="12"/>
      <name val="Tahoma"/>
      <family val="2"/>
    </font>
    <font>
      <sz val="10"/>
      <color indexed="9"/>
      <name val="Tahoma"/>
      <family val="2"/>
    </font>
    <font>
      <sz val="10"/>
      <color indexed="8"/>
      <name val="Tahoma"/>
      <family val="2"/>
    </font>
    <font>
      <sz val="8"/>
      <name val="ＭＳ Ｐゴシック"/>
      <family val="3"/>
      <charset val="128"/>
    </font>
    <font>
      <sz val="8"/>
      <name val="Tahoma"/>
      <family val="2"/>
    </font>
    <font>
      <b/>
      <sz val="8"/>
      <name val="Tahoma"/>
      <family val="2"/>
    </font>
    <font>
      <sz val="8"/>
      <color indexed="17"/>
      <name val="Tahoma"/>
      <family val="2"/>
    </font>
    <font>
      <i/>
      <sz val="8"/>
      <name val="Tahoma"/>
      <family val="2"/>
    </font>
    <font>
      <b/>
      <sz val="12"/>
      <name val="Courier New"/>
      <family val="3"/>
    </font>
    <font>
      <b/>
      <sz val="8"/>
      <name val="Courier New"/>
      <family val="3"/>
    </font>
    <font>
      <sz val="8"/>
      <name val="Courier New"/>
      <family val="3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6"/>
      <name val="ＭＳ Ｐゴシック"/>
      <family val="3"/>
      <charset val="128"/>
    </font>
    <font>
      <i/>
      <sz val="10"/>
      <name val="Tahoma"/>
      <family val="2"/>
    </font>
    <font>
      <u/>
      <sz val="11"/>
      <color indexed="12"/>
      <name val="Tahoma"/>
      <family val="2"/>
    </font>
    <font>
      <b/>
      <sz val="18"/>
      <name val="Tahoma"/>
      <family val="2"/>
    </font>
    <font>
      <b/>
      <sz val="11"/>
      <name val="Tahoma"/>
      <family val="2"/>
    </font>
    <font>
      <b/>
      <sz val="14"/>
      <name val="Tahoma"/>
      <family val="2"/>
    </font>
    <font>
      <sz val="10.5"/>
      <name val="Tahoma"/>
      <family val="2"/>
    </font>
    <font>
      <sz val="11"/>
      <name val="Tahoma"/>
      <family val="2"/>
    </font>
    <font>
      <b/>
      <sz val="12"/>
      <name val="Tahoma"/>
      <family val="2"/>
    </font>
    <font>
      <i/>
      <sz val="11"/>
      <name val="Tahoma"/>
      <family val="2"/>
    </font>
    <font>
      <b/>
      <sz val="11"/>
      <color indexed="9"/>
      <name val="Tahoma"/>
      <family val="2"/>
    </font>
    <font>
      <b/>
      <sz val="8"/>
      <color indexed="9"/>
      <name val="Tahoma"/>
      <family val="2"/>
    </font>
    <font>
      <sz val="8"/>
      <color indexed="9"/>
      <name val="Tahoma"/>
      <family val="2"/>
    </font>
  </fonts>
  <fills count="31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indexed="62"/>
        <bgColor indexed="56"/>
      </patternFill>
    </fill>
    <fill>
      <patternFill patternType="solid">
        <fgColor indexed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8"/>
        <bgColor indexed="64"/>
      </patternFill>
    </fill>
  </fills>
  <borders count="10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9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 style="hair">
        <color indexed="8"/>
      </right>
      <top style="double">
        <color indexed="64"/>
      </top>
      <bottom style="medium">
        <color indexed="9"/>
      </bottom>
      <diagonal/>
    </border>
    <border>
      <left/>
      <right/>
      <top style="double">
        <color indexed="64"/>
      </top>
      <bottom style="medium">
        <color indexed="9"/>
      </bottom>
      <diagonal/>
    </border>
    <border>
      <left/>
      <right style="double">
        <color indexed="64"/>
      </right>
      <top style="double">
        <color indexed="64"/>
      </top>
      <bottom style="medium">
        <color indexed="9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8"/>
      </right>
      <top style="medium">
        <color indexed="64"/>
      </top>
      <bottom style="thin">
        <color indexed="64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/>
      <right style="thin">
        <color indexed="64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medium">
        <color indexed="8"/>
      </right>
      <top style="medium">
        <color indexed="8"/>
      </top>
      <bottom style="thin">
        <color indexed="8"/>
      </bottom>
      <diagonal/>
    </border>
  </borders>
  <cellStyleXfs count="49">
    <xf numFmtId="0" fontId="0" fillId="0" borderId="0">
      <alignment vertical="center"/>
    </xf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8" borderId="0" applyNumberFormat="0" applyBorder="0" applyAlignment="0" applyProtection="0"/>
    <xf numFmtId="0" fontId="3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9" borderId="0" applyNumberFormat="0" applyBorder="0" applyAlignment="0" applyProtection="0"/>
    <xf numFmtId="0" fontId="5" fillId="3" borderId="0" applyNumberFormat="0" applyBorder="0" applyAlignment="0" applyProtection="0"/>
    <xf numFmtId="0" fontId="6" fillId="20" borderId="1" applyNumberFormat="0" applyAlignment="0" applyProtection="0"/>
    <xf numFmtId="0" fontId="7" fillId="21" borderId="2" applyNumberFormat="0" applyAlignment="0" applyProtection="0"/>
    <xf numFmtId="0" fontId="8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7" borderId="1" applyNumberFormat="0" applyAlignment="0" applyProtection="0"/>
    <xf numFmtId="0" fontId="15" fillId="0" borderId="6" applyNumberFormat="0" applyFill="0" applyAlignment="0" applyProtection="0"/>
    <xf numFmtId="0" fontId="16" fillId="22" borderId="0" applyNumberFormat="0" applyBorder="0" applyAlignment="0" applyProtection="0"/>
    <xf numFmtId="0" fontId="2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2" fillId="23" borderId="7" applyNumberFormat="0" applyFont="0" applyAlignment="0" applyProtection="0"/>
    <xf numFmtId="0" fontId="17" fillId="20" borderId="8" applyNumberForma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0" applyNumberFormat="0" applyFill="0" applyBorder="0" applyAlignment="0" applyProtection="0"/>
    <xf numFmtId="0" fontId="21" fillId="0" borderId="0"/>
  </cellStyleXfs>
  <cellXfs count="412">
    <xf numFmtId="0" fontId="0" fillId="0" borderId="0" xfId="0">
      <alignment vertical="center"/>
    </xf>
    <xf numFmtId="0" fontId="22" fillId="0" borderId="10" xfId="41" applyFont="1" applyBorder="1" applyAlignment="1">
      <alignment horizontal="center" vertical="center"/>
    </xf>
    <xf numFmtId="0" fontId="24" fillId="0" borderId="0" xfId="41" applyFont="1" applyAlignment="1">
      <alignment horizontal="center" vertical="center"/>
    </xf>
    <xf numFmtId="0" fontId="24" fillId="0" borderId="0" xfId="41" applyFont="1"/>
    <xf numFmtId="0" fontId="25" fillId="24" borderId="0" xfId="41" applyFont="1" applyFill="1" applyAlignment="1">
      <alignment horizontal="left" indent="1"/>
    </xf>
    <xf numFmtId="0" fontId="26" fillId="0" borderId="0" xfId="41" applyFont="1" applyAlignment="1">
      <alignment horizontal="left" indent="1"/>
    </xf>
    <xf numFmtId="0" fontId="24" fillId="24" borderId="0" xfId="41" applyFont="1" applyFill="1"/>
    <xf numFmtId="0" fontId="24" fillId="0" borderId="11" xfId="41" applyFont="1" applyBorder="1" applyAlignment="1"/>
    <xf numFmtId="0" fontId="26" fillId="0" borderId="0" xfId="41" applyFont="1" applyBorder="1" applyAlignment="1">
      <alignment horizontal="left"/>
    </xf>
    <xf numFmtId="0" fontId="24" fillId="0" borderId="0" xfId="41" applyFont="1" applyBorder="1" applyAlignment="1"/>
    <xf numFmtId="0" fontId="25" fillId="0" borderId="0" xfId="41" applyFont="1" applyFill="1" applyBorder="1" applyAlignment="1">
      <alignment horizontal="left" indent="1"/>
    </xf>
    <xf numFmtId="0" fontId="26" fillId="0" borderId="0" xfId="41" applyFont="1" applyBorder="1" applyAlignment="1">
      <alignment horizontal="left" indent="1"/>
    </xf>
    <xf numFmtId="0" fontId="24" fillId="0" borderId="0" xfId="41" applyFont="1" applyFill="1"/>
    <xf numFmtId="0" fontId="24" fillId="0" borderId="0" xfId="41" applyFont="1" applyBorder="1"/>
    <xf numFmtId="0" fontId="24" fillId="0" borderId="0" xfId="41" applyFont="1" applyAlignment="1">
      <alignment vertical="center"/>
    </xf>
    <xf numFmtId="190" fontId="27" fillId="25" borderId="12" xfId="41" applyNumberFormat="1" applyFont="1" applyFill="1" applyBorder="1" applyAlignment="1">
      <alignment horizontal="center" vertical="center"/>
    </xf>
    <xf numFmtId="0" fontId="27" fillId="25" borderId="13" xfId="41" applyFont="1" applyFill="1" applyBorder="1" applyAlignment="1">
      <alignment horizontal="center" vertical="center"/>
    </xf>
    <xf numFmtId="0" fontId="27" fillId="25" borderId="14" xfId="41" applyFont="1" applyFill="1" applyBorder="1" applyAlignment="1">
      <alignment horizontal="center" vertical="center"/>
    </xf>
    <xf numFmtId="0" fontId="24" fillId="0" borderId="0" xfId="41" applyFont="1" applyAlignment="1">
      <alignment vertical="top"/>
    </xf>
    <xf numFmtId="49" fontId="24" fillId="0" borderId="15" xfId="41" applyNumberFormat="1" applyFont="1" applyBorder="1" applyAlignment="1">
      <alignment vertical="top"/>
    </xf>
    <xf numFmtId="0" fontId="24" fillId="0" borderId="15" xfId="41" applyFont="1" applyBorder="1" applyAlignment="1">
      <alignment vertical="top"/>
    </xf>
    <xf numFmtId="15" fontId="24" fillId="0" borderId="15" xfId="41" applyNumberFormat="1" applyFont="1" applyBorder="1" applyAlignment="1">
      <alignment vertical="top"/>
    </xf>
    <xf numFmtId="190" fontId="24" fillId="0" borderId="16" xfId="41" applyNumberFormat="1" applyFont="1" applyBorder="1" applyAlignment="1">
      <alignment vertical="top"/>
    </xf>
    <xf numFmtId="0" fontId="24" fillId="0" borderId="17" xfId="41" applyFont="1" applyBorder="1" applyAlignment="1">
      <alignment vertical="top"/>
    </xf>
    <xf numFmtId="190" fontId="24" fillId="0" borderId="18" xfId="41" applyNumberFormat="1" applyFont="1" applyBorder="1" applyAlignment="1">
      <alignment vertical="top"/>
    </xf>
    <xf numFmtId="49" fontId="24" fillId="0" borderId="19" xfId="41" applyNumberFormat="1" applyFont="1" applyBorder="1" applyAlignment="1">
      <alignment vertical="top"/>
    </xf>
    <xf numFmtId="0" fontId="24" fillId="0" borderId="19" xfId="41" applyFont="1" applyBorder="1" applyAlignment="1">
      <alignment vertical="top"/>
    </xf>
    <xf numFmtId="0" fontId="24" fillId="0" borderId="20" xfId="41" applyFont="1" applyBorder="1" applyAlignment="1">
      <alignment vertical="top"/>
    </xf>
    <xf numFmtId="0" fontId="24" fillId="0" borderId="0" xfId="41" applyFont="1" applyAlignment="1">
      <alignment horizontal="left" indent="1"/>
    </xf>
    <xf numFmtId="1" fontId="24" fillId="24" borderId="0" xfId="41" applyNumberFormat="1" applyFont="1" applyFill="1" applyProtection="1">
      <protection hidden="1"/>
    </xf>
    <xf numFmtId="0" fontId="24" fillId="24" borderId="0" xfId="41" applyFont="1" applyFill="1" applyAlignment="1">
      <alignment horizontal="left"/>
    </xf>
    <xf numFmtId="0" fontId="24" fillId="24" borderId="0" xfId="41" applyFont="1" applyFill="1" applyAlignment="1">
      <alignment horizontal="left" wrapText="1"/>
    </xf>
    <xf numFmtId="0" fontId="23" fillId="24" borderId="0" xfId="41" applyFont="1" applyFill="1" applyAlignment="1">
      <alignment horizontal="left"/>
    </xf>
    <xf numFmtId="0" fontId="28" fillId="24" borderId="0" xfId="41" applyFont="1" applyFill="1" applyAlignment="1">
      <alignment horizontal="left"/>
    </xf>
    <xf numFmtId="0" fontId="29" fillId="24" borderId="0" xfId="41" applyFont="1" applyFill="1" applyAlignment="1">
      <alignment horizontal="left"/>
    </xf>
    <xf numFmtId="0" fontId="24" fillId="24" borderId="0" xfId="41" applyFont="1" applyFill="1" applyAlignment="1">
      <alignment wrapText="1"/>
    </xf>
    <xf numFmtId="1" fontId="25" fillId="24" borderId="0" xfId="41" applyNumberFormat="1" applyFont="1" applyFill="1" applyBorder="1" applyAlignment="1"/>
    <xf numFmtId="0" fontId="24" fillId="24" borderId="0" xfId="41" applyFont="1" applyFill="1" applyBorder="1" applyAlignment="1"/>
    <xf numFmtId="0" fontId="24" fillId="24" borderId="0" xfId="41" applyFont="1" applyFill="1" applyBorder="1" applyAlignment="1">
      <alignment wrapText="1"/>
    </xf>
    <xf numFmtId="1" fontId="24" fillId="24" borderId="0" xfId="41" applyNumberFormat="1" applyFont="1" applyFill="1" applyAlignment="1" applyProtection="1">
      <alignment vertical="center"/>
      <protection hidden="1"/>
    </xf>
    <xf numFmtId="0" fontId="24" fillId="24" borderId="0" xfId="41" applyFont="1" applyFill="1" applyAlignment="1">
      <alignment horizontal="left" vertical="center"/>
    </xf>
    <xf numFmtId="0" fontId="24" fillId="24" borderId="0" xfId="41" applyFont="1" applyFill="1" applyAlignment="1">
      <alignment horizontal="left" vertical="center" wrapText="1"/>
    </xf>
    <xf numFmtId="0" fontId="24" fillId="24" borderId="0" xfId="41" applyFont="1" applyFill="1" applyAlignment="1">
      <alignment vertical="center"/>
    </xf>
    <xf numFmtId="1" fontId="27" fillId="26" borderId="12" xfId="41" applyNumberFormat="1" applyFont="1" applyFill="1" applyBorder="1" applyAlignment="1">
      <alignment horizontal="center" vertical="center"/>
    </xf>
    <xf numFmtId="1" fontId="27" fillId="26" borderId="21" xfId="41" applyNumberFormat="1" applyFont="1" applyFill="1" applyBorder="1" applyAlignment="1">
      <alignment horizontal="center" vertical="center" wrapText="1"/>
    </xf>
    <xf numFmtId="1" fontId="27" fillId="26" borderId="21" xfId="41" applyNumberFormat="1" applyFont="1" applyFill="1" applyBorder="1" applyAlignment="1">
      <alignment horizontal="center" vertical="center"/>
    </xf>
    <xf numFmtId="0" fontId="27" fillId="26" borderId="13" xfId="41" applyFont="1" applyFill="1" applyBorder="1" applyAlignment="1">
      <alignment horizontal="center" vertical="center"/>
    </xf>
    <xf numFmtId="0" fontId="27" fillId="26" borderId="13" xfId="41" applyFont="1" applyFill="1" applyBorder="1" applyAlignment="1">
      <alignment horizontal="center" vertical="center" wrapText="1"/>
    </xf>
    <xf numFmtId="0" fontId="27" fillId="26" borderId="22" xfId="41" applyFont="1" applyFill="1" applyBorder="1" applyAlignment="1">
      <alignment horizontal="center" vertical="center"/>
    </xf>
    <xf numFmtId="0" fontId="27" fillId="26" borderId="14" xfId="41" applyFont="1" applyFill="1" applyBorder="1" applyAlignment="1">
      <alignment horizontal="center" vertical="center"/>
    </xf>
    <xf numFmtId="0" fontId="30" fillId="24" borderId="0" xfId="41" applyFont="1" applyFill="1" applyAlignment="1">
      <alignment horizontal="center"/>
    </xf>
    <xf numFmtId="1" fontId="24" fillId="24" borderId="23" xfId="41" applyNumberFormat="1" applyFont="1" applyFill="1" applyBorder="1" applyAlignment="1">
      <alignment vertical="center"/>
    </xf>
    <xf numFmtId="49" fontId="24" fillId="24" borderId="15" xfId="41" applyNumberFormat="1" applyFont="1" applyFill="1" applyBorder="1" applyAlignment="1">
      <alignment horizontal="left" vertical="center"/>
    </xf>
    <xf numFmtId="49" fontId="24" fillId="24" borderId="15" xfId="41" applyNumberFormat="1" applyFont="1" applyFill="1" applyBorder="1" applyAlignment="1">
      <alignment horizontal="left" vertical="center" wrapText="1"/>
    </xf>
    <xf numFmtId="0" fontId="31" fillId="24" borderId="15" xfId="34" applyNumberFormat="1" applyFont="1" applyFill="1" applyBorder="1" applyAlignment="1" applyProtection="1">
      <alignment horizontal="left" vertical="center"/>
    </xf>
    <xf numFmtId="0" fontId="24" fillId="24" borderId="17" xfId="41" applyFont="1" applyFill="1" applyBorder="1" applyAlignment="1">
      <alignment horizontal="left" vertical="center"/>
    </xf>
    <xf numFmtId="0" fontId="24" fillId="24" borderId="15" xfId="41" applyFont="1" applyFill="1" applyBorder="1" applyAlignment="1">
      <alignment horizontal="left" vertical="center"/>
    </xf>
    <xf numFmtId="1" fontId="24" fillId="24" borderId="24" xfId="41" applyNumberFormat="1" applyFont="1" applyFill="1" applyBorder="1" applyAlignment="1">
      <alignment vertical="center"/>
    </xf>
    <xf numFmtId="49" fontId="24" fillId="24" borderId="19" xfId="41" applyNumberFormat="1" applyFont="1" applyFill="1" applyBorder="1" applyAlignment="1">
      <alignment horizontal="left" vertical="center"/>
    </xf>
    <xf numFmtId="49" fontId="24" fillId="24" borderId="19" xfId="41" applyNumberFormat="1" applyFont="1" applyFill="1" applyBorder="1" applyAlignment="1">
      <alignment horizontal="left" vertical="center" wrapText="1"/>
    </xf>
    <xf numFmtId="0" fontId="24" fillId="24" borderId="19" xfId="41" applyFont="1" applyFill="1" applyBorder="1" applyAlignment="1">
      <alignment horizontal="left" vertical="center"/>
    </xf>
    <xf numFmtId="0" fontId="24" fillId="24" borderId="20" xfId="41" applyFont="1" applyFill="1" applyBorder="1" applyAlignment="1">
      <alignment horizontal="left" vertical="center"/>
    </xf>
    <xf numFmtId="1" fontId="24" fillId="24" borderId="0" xfId="41" applyNumberFormat="1" applyFont="1" applyFill="1"/>
    <xf numFmtId="0" fontId="30" fillId="24" borderId="0" xfId="38" applyFont="1" applyFill="1" applyBorder="1"/>
    <xf numFmtId="0" fontId="24" fillId="24" borderId="0" xfId="38" applyFont="1" applyFill="1" applyBorder="1"/>
    <xf numFmtId="190" fontId="24" fillId="24" borderId="0" xfId="38" applyNumberFormat="1" applyFont="1" applyFill="1" applyBorder="1"/>
    <xf numFmtId="0" fontId="25" fillId="24" borderId="0" xfId="41" applyFont="1" applyFill="1"/>
    <xf numFmtId="0" fontId="26" fillId="24" borderId="0" xfId="38" applyFont="1" applyFill="1" applyBorder="1"/>
    <xf numFmtId="0" fontId="24" fillId="24" borderId="0" xfId="41" applyFont="1" applyFill="1" applyBorder="1"/>
    <xf numFmtId="0" fontId="27" fillId="25" borderId="21" xfId="41" applyNumberFormat="1" applyFont="1" applyFill="1" applyBorder="1" applyAlignment="1">
      <alignment horizontal="center"/>
    </xf>
    <xf numFmtId="0" fontId="27" fillId="25" borderId="13" xfId="41" applyNumberFormat="1" applyFont="1" applyFill="1" applyBorder="1" applyAlignment="1">
      <alignment horizontal="center"/>
    </xf>
    <xf numFmtId="0" fontId="27" fillId="25" borderId="13" xfId="41" applyNumberFormat="1" applyFont="1" applyFill="1" applyBorder="1" applyAlignment="1">
      <alignment horizontal="center" wrapText="1"/>
    </xf>
    <xf numFmtId="0" fontId="27" fillId="25" borderId="22" xfId="41" applyNumberFormat="1" applyFont="1" applyFill="1" applyBorder="1" applyAlignment="1">
      <alignment horizontal="center"/>
    </xf>
    <xf numFmtId="0" fontId="27" fillId="25" borderId="25" xfId="41" applyNumberFormat="1" applyFont="1" applyFill="1" applyBorder="1" applyAlignment="1">
      <alignment horizontal="center" wrapText="1"/>
    </xf>
    <xf numFmtId="0" fontId="24" fillId="24" borderId="23" xfId="41" applyNumberFormat="1" applyFont="1" applyFill="1" applyBorder="1" applyAlignment="1">
      <alignment horizontal="center"/>
    </xf>
    <xf numFmtId="0" fontId="24" fillId="24" borderId="15" xfId="41" applyNumberFormat="1" applyFont="1" applyFill="1" applyBorder="1" applyAlignment="1">
      <alignment horizontal="center"/>
    </xf>
    <xf numFmtId="0" fontId="24" fillId="24" borderId="26" xfId="41" applyNumberFormat="1" applyFont="1" applyFill="1" applyBorder="1" applyAlignment="1">
      <alignment horizontal="center"/>
    </xf>
    <xf numFmtId="0" fontId="32" fillId="25" borderId="24" xfId="41" applyNumberFormat="1" applyFont="1" applyFill="1" applyBorder="1" applyAlignment="1">
      <alignment horizontal="center"/>
    </xf>
    <xf numFmtId="0" fontId="32" fillId="25" borderId="19" xfId="41" applyFont="1" applyFill="1" applyBorder="1" applyAlignment="1">
      <alignment horizontal="center"/>
    </xf>
    <xf numFmtId="0" fontId="24" fillId="24" borderId="0" xfId="41" applyFont="1" applyFill="1" applyBorder="1" applyAlignment="1">
      <alignment horizontal="center"/>
    </xf>
    <xf numFmtId="10" fontId="24" fillId="24" borderId="0" xfId="41" applyNumberFormat="1" applyFont="1" applyFill="1" applyBorder="1" applyAlignment="1">
      <alignment horizontal="center"/>
    </xf>
    <xf numFmtId="9" fontId="24" fillId="24" borderId="0" xfId="41" applyNumberFormat="1" applyFont="1" applyFill="1" applyBorder="1" applyAlignment="1">
      <alignment horizontal="center"/>
    </xf>
    <xf numFmtId="0" fontId="33" fillId="24" borderId="0" xfId="41" applyFont="1" applyFill="1" applyBorder="1" applyAlignment="1">
      <alignment horizontal="center" wrapText="1"/>
    </xf>
    <xf numFmtId="0" fontId="35" fillId="0" borderId="27" xfId="41" applyFont="1" applyBorder="1"/>
    <xf numFmtId="0" fontId="36" fillId="0" borderId="27" xfId="41" applyFont="1" applyBorder="1" applyAlignment="1">
      <alignment horizontal="left"/>
    </xf>
    <xf numFmtId="0" fontId="35" fillId="0" borderId="0" xfId="41" applyFont="1"/>
    <xf numFmtId="0" fontId="35" fillId="0" borderId="0" xfId="41" applyFont="1" applyAlignment="1">
      <alignment horizontal="right"/>
    </xf>
    <xf numFmtId="49" fontId="35" fillId="0" borderId="0" xfId="41" applyNumberFormat="1" applyFont="1"/>
    <xf numFmtId="0" fontId="35" fillId="0" borderId="28" xfId="41" applyFont="1" applyBorder="1"/>
    <xf numFmtId="0" fontId="36" fillId="0" borderId="0" xfId="41" applyFont="1" applyAlignment="1">
      <alignment horizontal="left"/>
    </xf>
    <xf numFmtId="0" fontId="36" fillId="0" borderId="0" xfId="41" applyFont="1" applyFill="1"/>
    <xf numFmtId="49" fontId="35" fillId="0" borderId="0" xfId="41" applyNumberFormat="1" applyFont="1" applyBorder="1"/>
    <xf numFmtId="0" fontId="35" fillId="0" borderId="0" xfId="41" applyFont="1" applyBorder="1"/>
    <xf numFmtId="0" fontId="36" fillId="27" borderId="29" xfId="41" applyFont="1" applyFill="1" applyBorder="1" applyAlignment="1">
      <alignment horizontal="left" vertical="top"/>
    </xf>
    <xf numFmtId="0" fontId="35" fillId="27" borderId="30" xfId="41" applyFont="1" applyFill="1" applyBorder="1" applyAlignment="1">
      <alignment horizontal="center" vertical="top"/>
    </xf>
    <xf numFmtId="0" fontId="35" fillId="27" borderId="31" xfId="41" applyFont="1" applyFill="1" applyBorder="1" applyAlignment="1">
      <alignment horizontal="right" vertical="top"/>
    </xf>
    <xf numFmtId="0" fontId="38" fillId="28" borderId="32" xfId="41" applyFont="1" applyFill="1" applyBorder="1" applyAlignment="1">
      <alignment horizontal="right"/>
    </xf>
    <xf numFmtId="0" fontId="39" fillId="0" borderId="33" xfId="41" applyFont="1" applyBorder="1" applyAlignment="1">
      <alignment horizontal="center"/>
    </xf>
    <xf numFmtId="0" fontId="38" fillId="28" borderId="0" xfId="41" applyFont="1" applyFill="1" applyBorder="1" applyAlignment="1">
      <alignment horizontal="right"/>
    </xf>
    <xf numFmtId="0" fontId="35" fillId="0" borderId="0" xfId="41" applyFont="1" applyFill="1" applyBorder="1" applyAlignment="1">
      <alignment vertical="top"/>
    </xf>
    <xf numFmtId="0" fontId="35" fillId="28" borderId="0" xfId="41" applyFont="1" applyFill="1" applyBorder="1" applyAlignment="1">
      <alignment horizontal="right"/>
    </xf>
    <xf numFmtId="0" fontId="40" fillId="0" borderId="0" xfId="41" applyFont="1" applyAlignment="1">
      <alignment horizontal="center"/>
    </xf>
    <xf numFmtId="0" fontId="36" fillId="27" borderId="34" xfId="41" applyFont="1" applyFill="1" applyBorder="1" applyAlignment="1">
      <alignment horizontal="left" vertical="top"/>
    </xf>
    <xf numFmtId="0" fontId="35" fillId="27" borderId="35" xfId="41" applyFont="1" applyFill="1" applyBorder="1" applyAlignment="1">
      <alignment horizontal="center" vertical="top"/>
    </xf>
    <xf numFmtId="0" fontId="35" fillId="27" borderId="36" xfId="41" applyFont="1" applyFill="1" applyBorder="1" applyAlignment="1">
      <alignment horizontal="right" vertical="top"/>
    </xf>
    <xf numFmtId="0" fontId="35" fillId="28" borderId="37" xfId="41" applyFont="1" applyFill="1" applyBorder="1" applyAlignment="1">
      <alignment horizontal="right"/>
    </xf>
    <xf numFmtId="0" fontId="39" fillId="0" borderId="38" xfId="41" applyFont="1" applyBorder="1" applyAlignment="1">
      <alignment horizontal="center"/>
    </xf>
    <xf numFmtId="0" fontId="36" fillId="27" borderId="39" xfId="41" applyFont="1" applyFill="1" applyBorder="1" applyAlignment="1"/>
    <xf numFmtId="0" fontId="36" fillId="27" borderId="40" xfId="41" applyFont="1" applyFill="1" applyBorder="1" applyAlignment="1"/>
    <xf numFmtId="0" fontId="35" fillId="27" borderId="41" xfId="41" applyFont="1" applyFill="1" applyBorder="1" applyAlignment="1">
      <alignment horizontal="right"/>
    </xf>
    <xf numFmtId="0" fontId="35" fillId="28" borderId="42" xfId="41" applyFont="1" applyFill="1" applyBorder="1" applyAlignment="1">
      <alignment horizontal="left"/>
    </xf>
    <xf numFmtId="0" fontId="39" fillId="0" borderId="42" xfId="41" applyFont="1" applyBorder="1" applyAlignment="1">
      <alignment horizontal="center"/>
    </xf>
    <xf numFmtId="0" fontId="36" fillId="27" borderId="29" xfId="41" applyFont="1" applyFill="1" applyBorder="1" applyAlignment="1"/>
    <xf numFmtId="0" fontId="35" fillId="27" borderId="30" xfId="41" applyFont="1" applyFill="1" applyBorder="1" applyAlignment="1"/>
    <xf numFmtId="0" fontId="35" fillId="27" borderId="31" xfId="41" applyFont="1" applyFill="1" applyBorder="1" applyAlignment="1">
      <alignment horizontal="right"/>
    </xf>
    <xf numFmtId="0" fontId="35" fillId="28" borderId="33" xfId="41" applyFont="1" applyFill="1" applyBorder="1" applyAlignment="1">
      <alignment horizontal="left"/>
    </xf>
    <xf numFmtId="0" fontId="2" fillId="27" borderId="30" xfId="41" applyFill="1" applyBorder="1" applyAlignment="1"/>
    <xf numFmtId="0" fontId="35" fillId="28" borderId="33" xfId="41" applyFont="1" applyFill="1" applyBorder="1"/>
    <xf numFmtId="0" fontId="41" fillId="0" borderId="33" xfId="41" applyFont="1" applyBorder="1" applyAlignment="1">
      <alignment horizontal="center"/>
    </xf>
    <xf numFmtId="0" fontId="37" fillId="0" borderId="33" xfId="41" applyFont="1" applyBorder="1" applyAlignment="1">
      <alignment horizontal="left"/>
    </xf>
    <xf numFmtId="0" fontId="35" fillId="0" borderId="33" xfId="41" applyFont="1" applyBorder="1"/>
    <xf numFmtId="195" fontId="35" fillId="0" borderId="33" xfId="41" applyNumberFormat="1" applyFont="1" applyBorder="1" applyAlignment="1">
      <alignment vertical="top" textRotation="255"/>
    </xf>
    <xf numFmtId="0" fontId="35" fillId="0" borderId="0" xfId="42" applyFont="1"/>
    <xf numFmtId="0" fontId="35" fillId="0" borderId="0" xfId="42" applyFont="1" applyAlignment="1">
      <alignment horizontal="right"/>
    </xf>
    <xf numFmtId="49" fontId="35" fillId="0" borderId="0" xfId="42" applyNumberFormat="1" applyFont="1"/>
    <xf numFmtId="0" fontId="35" fillId="0" borderId="28" xfId="42" applyFont="1" applyBorder="1"/>
    <xf numFmtId="0" fontId="36" fillId="0" borderId="0" xfId="42" applyFont="1" applyAlignment="1">
      <alignment horizontal="left"/>
    </xf>
    <xf numFmtId="0" fontId="36" fillId="0" borderId="0" xfId="42" applyFont="1" applyFill="1"/>
    <xf numFmtId="49" fontId="35" fillId="0" borderId="0" xfId="42" applyNumberFormat="1" applyFont="1" applyBorder="1"/>
    <xf numFmtId="0" fontId="35" fillId="0" borderId="0" xfId="42" applyFont="1" applyBorder="1"/>
    <xf numFmtId="0" fontId="36" fillId="27" borderId="29" xfId="42" applyFont="1" applyFill="1" applyBorder="1" applyAlignment="1">
      <alignment horizontal="left" vertical="top"/>
    </xf>
    <xf numFmtId="0" fontId="35" fillId="27" borderId="30" xfId="42" applyFont="1" applyFill="1" applyBorder="1" applyAlignment="1">
      <alignment horizontal="center" vertical="top"/>
    </xf>
    <xf numFmtId="0" fontId="35" fillId="27" borderId="31" xfId="42" applyFont="1" applyFill="1" applyBorder="1" applyAlignment="1">
      <alignment horizontal="right" vertical="top"/>
    </xf>
    <xf numFmtId="0" fontId="38" fillId="28" borderId="32" xfId="42" applyFont="1" applyFill="1" applyBorder="1" applyAlignment="1">
      <alignment horizontal="right"/>
    </xf>
    <xf numFmtId="0" fontId="39" fillId="0" borderId="33" xfId="42" applyFont="1" applyBorder="1" applyAlignment="1">
      <alignment horizontal="center"/>
    </xf>
    <xf numFmtId="0" fontId="38" fillId="28" borderId="0" xfId="42" applyFont="1" applyFill="1" applyBorder="1" applyAlignment="1">
      <alignment horizontal="right"/>
    </xf>
    <xf numFmtId="0" fontId="35" fillId="0" borderId="0" xfId="42" applyFont="1" applyFill="1" applyBorder="1" applyAlignment="1">
      <alignment vertical="top"/>
    </xf>
    <xf numFmtId="0" fontId="35" fillId="28" borderId="0" xfId="42" applyFont="1" applyFill="1" applyBorder="1" applyAlignment="1">
      <alignment horizontal="right"/>
    </xf>
    <xf numFmtId="0" fontId="40" fillId="0" borderId="0" xfId="42" applyFont="1" applyAlignment="1">
      <alignment horizontal="center"/>
    </xf>
    <xf numFmtId="0" fontId="36" fillId="27" borderId="34" xfId="42" applyFont="1" applyFill="1" applyBorder="1" applyAlignment="1">
      <alignment horizontal="left" vertical="top"/>
    </xf>
    <xf numFmtId="0" fontId="35" fillId="27" borderId="35" xfId="42" applyFont="1" applyFill="1" applyBorder="1" applyAlignment="1">
      <alignment horizontal="center" vertical="top"/>
    </xf>
    <xf numFmtId="0" fontId="35" fillId="27" borderId="36" xfId="42" applyFont="1" applyFill="1" applyBorder="1" applyAlignment="1">
      <alignment horizontal="right" vertical="top"/>
    </xf>
    <xf numFmtId="0" fontId="35" fillId="28" borderId="37" xfId="42" applyFont="1" applyFill="1" applyBorder="1" applyAlignment="1">
      <alignment horizontal="right"/>
    </xf>
    <xf numFmtId="0" fontId="39" fillId="0" borderId="38" xfId="42" applyFont="1" applyBorder="1" applyAlignment="1">
      <alignment horizontal="center"/>
    </xf>
    <xf numFmtId="0" fontId="36" fillId="27" borderId="39" xfId="42" applyFont="1" applyFill="1" applyBorder="1" applyAlignment="1"/>
    <xf numFmtId="0" fontId="36" fillId="27" borderId="40" xfId="42" applyFont="1" applyFill="1" applyBorder="1" applyAlignment="1"/>
    <xf numFmtId="0" fontId="35" fillId="27" borderId="41" xfId="42" applyFont="1" applyFill="1" applyBorder="1" applyAlignment="1">
      <alignment horizontal="right"/>
    </xf>
    <xf numFmtId="0" fontId="35" fillId="28" borderId="42" xfId="42" applyFont="1" applyFill="1" applyBorder="1" applyAlignment="1">
      <alignment horizontal="left"/>
    </xf>
    <xf numFmtId="0" fontId="39" fillId="0" borderId="42" xfId="42" applyFont="1" applyBorder="1" applyAlignment="1">
      <alignment horizontal="center"/>
    </xf>
    <xf numFmtId="0" fontId="36" fillId="27" borderId="29" xfId="42" applyFont="1" applyFill="1" applyBorder="1" applyAlignment="1"/>
    <xf numFmtId="0" fontId="35" fillId="27" borderId="30" xfId="42" applyFont="1" applyFill="1" applyBorder="1" applyAlignment="1"/>
    <xf numFmtId="0" fontId="35" fillId="27" borderId="31" xfId="42" applyFont="1" applyFill="1" applyBorder="1" applyAlignment="1">
      <alignment horizontal="right"/>
    </xf>
    <xf numFmtId="0" fontId="35" fillId="28" borderId="33" xfId="42" applyFont="1" applyFill="1" applyBorder="1" applyAlignment="1">
      <alignment horizontal="left"/>
    </xf>
    <xf numFmtId="0" fontId="1" fillId="27" borderId="30" xfId="42" applyFill="1" applyBorder="1" applyAlignment="1"/>
    <xf numFmtId="0" fontId="35" fillId="28" borderId="33" xfId="42" applyFont="1" applyFill="1" applyBorder="1"/>
    <xf numFmtId="0" fontId="41" fillId="0" borderId="33" xfId="42" applyFont="1" applyBorder="1" applyAlignment="1">
      <alignment horizontal="center"/>
    </xf>
    <xf numFmtId="0" fontId="37" fillId="0" borderId="33" xfId="42" applyFont="1" applyBorder="1" applyAlignment="1">
      <alignment horizontal="left"/>
    </xf>
    <xf numFmtId="0" fontId="35" fillId="0" borderId="33" xfId="42" applyFont="1" applyBorder="1"/>
    <xf numFmtId="195" fontId="35" fillId="0" borderId="33" xfId="42" applyNumberFormat="1" applyFont="1" applyBorder="1" applyAlignment="1">
      <alignment vertical="top" textRotation="255"/>
    </xf>
    <xf numFmtId="0" fontId="36" fillId="27" borderId="29" xfId="41" applyFont="1" applyFill="1" applyBorder="1" applyAlignment="1">
      <alignment horizontal="right"/>
    </xf>
    <xf numFmtId="0" fontId="45" fillId="0" borderId="11" xfId="41" applyFont="1" applyBorder="1" applyAlignment="1"/>
    <xf numFmtId="0" fontId="45" fillId="0" borderId="11" xfId="41" applyFont="1" applyBorder="1" applyAlignment="1">
      <alignment horizontal="left" indent="1"/>
    </xf>
    <xf numFmtId="0" fontId="45" fillId="0" borderId="16" xfId="41" applyFont="1" applyBorder="1" applyAlignment="1">
      <alignment vertical="top" wrapText="1"/>
    </xf>
    <xf numFmtId="0" fontId="45" fillId="0" borderId="17" xfId="41" applyFont="1" applyBorder="1" applyAlignment="1">
      <alignment vertical="top" wrapText="1"/>
    </xf>
    <xf numFmtId="1" fontId="24" fillId="24" borderId="16" xfId="41" applyNumberFormat="1" applyFont="1" applyFill="1" applyBorder="1" applyAlignment="1">
      <alignment horizontal="center" vertical="center"/>
    </xf>
    <xf numFmtId="1" fontId="24" fillId="24" borderId="18" xfId="41" applyNumberFormat="1" applyFont="1" applyFill="1" applyBorder="1" applyAlignment="1">
      <alignment horizontal="center" vertical="center"/>
    </xf>
    <xf numFmtId="0" fontId="47" fillId="29" borderId="0" xfId="0" applyFont="1" applyFill="1" applyAlignment="1">
      <alignment horizontal="center"/>
    </xf>
    <xf numFmtId="0" fontId="48" fillId="29" borderId="0" xfId="0" applyFont="1" applyFill="1">
      <alignment vertical="center"/>
    </xf>
    <xf numFmtId="0" fontId="49" fillId="29" borderId="0" xfId="0" applyFont="1" applyFill="1">
      <alignment vertical="center"/>
    </xf>
    <xf numFmtId="0" fontId="50" fillId="29" borderId="0" xfId="0" applyFont="1" applyFill="1" applyAlignment="1">
      <alignment horizontal="justify"/>
    </xf>
    <xf numFmtId="0" fontId="51" fillId="29" borderId="0" xfId="0" applyFont="1" applyFill="1">
      <alignment vertical="center"/>
    </xf>
    <xf numFmtId="0" fontId="52" fillId="29" borderId="0" xfId="0" applyFont="1" applyFill="1" applyAlignment="1">
      <alignment horizontal="justify"/>
    </xf>
    <xf numFmtId="0" fontId="52" fillId="29" borderId="0" xfId="0" applyFont="1" applyFill="1">
      <alignment vertical="center"/>
    </xf>
    <xf numFmtId="0" fontId="50" fillId="29" borderId="0" xfId="0" quotePrefix="1" applyFont="1" applyFill="1" applyAlignment="1">
      <alignment horizontal="justify"/>
    </xf>
    <xf numFmtId="0" fontId="24" fillId="29" borderId="0" xfId="0" applyFont="1" applyFill="1" applyAlignment="1">
      <alignment horizontal="justify"/>
    </xf>
    <xf numFmtId="0" fontId="24" fillId="29" borderId="0" xfId="0" applyFont="1" applyFill="1" applyAlignment="1">
      <alignment horizontal="justify" wrapText="1"/>
    </xf>
    <xf numFmtId="0" fontId="24" fillId="29" borderId="0" xfId="0" applyFont="1" applyFill="1" applyAlignment="1">
      <alignment horizontal="left" wrapText="1"/>
    </xf>
    <xf numFmtId="0" fontId="30" fillId="29" borderId="0" xfId="0" applyFont="1" applyFill="1" applyAlignment="1">
      <alignment horizontal="justify"/>
    </xf>
    <xf numFmtId="0" fontId="45" fillId="29" borderId="0" xfId="0" applyFont="1" applyFill="1" applyAlignment="1">
      <alignment horizontal="justify"/>
    </xf>
    <xf numFmtId="0" fontId="53" fillId="29" borderId="0" xfId="0" applyFont="1" applyFill="1">
      <alignment vertical="center"/>
    </xf>
    <xf numFmtId="0" fontId="30" fillId="24" borderId="43" xfId="41" applyFont="1" applyFill="1" applyBorder="1" applyAlignment="1">
      <alignment horizontal="left"/>
    </xf>
    <xf numFmtId="0" fontId="30" fillId="0" borderId="0" xfId="41" applyFont="1" applyFill="1" applyBorder="1"/>
    <xf numFmtId="0" fontId="30" fillId="0" borderId="0" xfId="41" applyFont="1" applyAlignment="1">
      <alignment horizontal="left"/>
    </xf>
    <xf numFmtId="49" fontId="46" fillId="24" borderId="15" xfId="34" applyNumberFormat="1" applyFont="1" applyFill="1" applyBorder="1"/>
    <xf numFmtId="0" fontId="54" fillId="30" borderId="0" xfId="0" applyFont="1" applyFill="1">
      <alignment vertical="center"/>
    </xf>
    <xf numFmtId="49" fontId="31" fillId="24" borderId="15" xfId="34" applyNumberFormat="1" applyFont="1" applyFill="1" applyBorder="1"/>
    <xf numFmtId="0" fontId="52" fillId="0" borderId="33" xfId="41" applyFont="1" applyBorder="1" applyAlignment="1">
      <alignment horizontal="center"/>
    </xf>
    <xf numFmtId="0" fontId="36" fillId="0" borderId="0" xfId="41" applyFont="1" applyAlignment="1">
      <alignment horizontal="center"/>
    </xf>
    <xf numFmtId="0" fontId="52" fillId="0" borderId="38" xfId="41" applyFont="1" applyBorder="1" applyAlignment="1">
      <alignment horizontal="center"/>
    </xf>
    <xf numFmtId="0" fontId="52" fillId="0" borderId="42" xfId="41" applyFont="1" applyBorder="1" applyAlignment="1">
      <alignment horizontal="center"/>
    </xf>
    <xf numFmtId="0" fontId="51" fillId="27" borderId="30" xfId="41" applyFont="1" applyFill="1" applyBorder="1" applyAlignment="1"/>
    <xf numFmtId="0" fontId="35" fillId="0" borderId="33" xfId="41" applyFont="1" applyBorder="1" applyAlignment="1">
      <alignment horizontal="center"/>
    </xf>
    <xf numFmtId="0" fontId="38" fillId="24" borderId="44" xfId="39" applyFont="1" applyFill="1" applyBorder="1" applyAlignment="1">
      <alignment wrapText="1"/>
    </xf>
    <xf numFmtId="0" fontId="38" fillId="24" borderId="45" xfId="39" applyFont="1" applyFill="1" applyBorder="1" applyAlignment="1">
      <alignment wrapText="1"/>
    </xf>
    <xf numFmtId="0" fontId="35" fillId="24" borderId="46" xfId="41" applyNumberFormat="1" applyFont="1" applyFill="1" applyBorder="1" applyAlignment="1">
      <alignment horizontal="center" vertical="center"/>
    </xf>
    <xf numFmtId="0" fontId="36" fillId="0" borderId="0" xfId="41" applyFont="1" applyBorder="1" applyAlignment="1">
      <alignment horizontal="left"/>
    </xf>
    <xf numFmtId="0" fontId="35" fillId="0" borderId="0" xfId="41" applyFont="1" applyAlignment="1">
      <alignment horizontal="center"/>
    </xf>
    <xf numFmtId="0" fontId="35" fillId="0" borderId="47" xfId="41" applyFont="1" applyBorder="1"/>
    <xf numFmtId="0" fontId="36" fillId="0" borderId="0" xfId="42" applyFont="1" applyBorder="1" applyAlignment="1">
      <alignment horizontal="left"/>
    </xf>
    <xf numFmtId="0" fontId="30" fillId="24" borderId="43" xfId="41" applyFont="1" applyFill="1" applyBorder="1" applyAlignment="1">
      <alignment horizontal="left" vertical="center"/>
    </xf>
    <xf numFmtId="0" fontId="45" fillId="24" borderId="10" xfId="41" applyFont="1" applyFill="1" applyBorder="1" applyAlignment="1">
      <alignment horizontal="left"/>
    </xf>
    <xf numFmtId="0" fontId="45" fillId="24" borderId="48" xfId="41" applyFont="1" applyFill="1" applyBorder="1" applyAlignment="1">
      <alignment horizontal="left"/>
    </xf>
    <xf numFmtId="0" fontId="45" fillId="24" borderId="11" xfId="41" applyFont="1" applyFill="1" applyBorder="1" applyAlignment="1">
      <alignment horizontal="left"/>
    </xf>
    <xf numFmtId="0" fontId="30" fillId="24" borderId="43" xfId="41" applyFont="1" applyFill="1" applyBorder="1" applyAlignment="1">
      <alignment vertical="center"/>
    </xf>
    <xf numFmtId="0" fontId="30" fillId="24" borderId="0" xfId="41" applyFont="1" applyFill="1" applyBorder="1" applyAlignment="1">
      <alignment horizontal="left"/>
    </xf>
    <xf numFmtId="2" fontId="30" fillId="24" borderId="0" xfId="41" applyNumberFormat="1" applyFont="1" applyFill="1" applyBorder="1" applyAlignment="1">
      <alignment horizontal="right" wrapText="1"/>
    </xf>
    <xf numFmtId="0" fontId="38" fillId="24" borderId="48" xfId="39" applyFont="1" applyFill="1" applyBorder="1" applyAlignment="1">
      <alignment horizontal="left" wrapText="1"/>
    </xf>
    <xf numFmtId="0" fontId="36" fillId="27" borderId="49" xfId="41" applyFont="1" applyFill="1" applyBorder="1" applyAlignment="1"/>
    <xf numFmtId="0" fontId="35" fillId="27" borderId="32" xfId="41" applyFont="1" applyFill="1" applyBorder="1" applyAlignment="1"/>
    <xf numFmtId="0" fontId="35" fillId="27" borderId="50" xfId="41" applyFont="1" applyFill="1" applyBorder="1" applyAlignment="1">
      <alignment horizontal="right"/>
    </xf>
    <xf numFmtId="0" fontId="35" fillId="28" borderId="51" xfId="41" applyFont="1" applyFill="1" applyBorder="1" applyAlignment="1">
      <alignment horizontal="left"/>
    </xf>
    <xf numFmtId="0" fontId="52" fillId="0" borderId="51" xfId="41" applyFont="1" applyBorder="1" applyAlignment="1">
      <alignment horizontal="center"/>
    </xf>
    <xf numFmtId="0" fontId="35" fillId="0" borderId="52" xfId="41" applyFont="1" applyFill="1" applyBorder="1" applyAlignment="1">
      <alignment horizontal="left"/>
    </xf>
    <xf numFmtId="0" fontId="35" fillId="0" borderId="52" xfId="41" applyFont="1" applyBorder="1" applyAlignment="1">
      <alignment horizontal="center"/>
    </xf>
    <xf numFmtId="0" fontId="55" fillId="0" borderId="0" xfId="41" applyFont="1" applyFill="1" applyBorder="1" applyAlignment="1">
      <alignment vertical="top"/>
    </xf>
    <xf numFmtId="0" fontId="55" fillId="30" borderId="53" xfId="41" applyFont="1" applyFill="1" applyBorder="1" applyAlignment="1">
      <alignment horizontal="left"/>
    </xf>
    <xf numFmtId="0" fontId="56" fillId="30" borderId="53" xfId="41" applyFont="1" applyFill="1" applyBorder="1"/>
    <xf numFmtId="0" fontId="56" fillId="30" borderId="53" xfId="41" applyFont="1" applyFill="1" applyBorder="1" applyAlignment="1">
      <alignment horizontal="right"/>
    </xf>
    <xf numFmtId="0" fontId="55" fillId="30" borderId="53" xfId="41" applyFont="1" applyFill="1" applyBorder="1" applyAlignment="1">
      <alignment vertical="top" textRotation="180"/>
    </xf>
    <xf numFmtId="0" fontId="55" fillId="30" borderId="54" xfId="41" applyFont="1" applyFill="1" applyBorder="1" applyAlignment="1">
      <alignment vertical="top" textRotation="180"/>
    </xf>
    <xf numFmtId="0" fontId="52" fillId="0" borderId="55" xfId="41" applyFont="1" applyBorder="1" applyAlignment="1">
      <alignment horizontal="center"/>
    </xf>
    <xf numFmtId="0" fontId="55" fillId="30" borderId="56" xfId="41" applyFont="1" applyFill="1" applyBorder="1" applyAlignment="1">
      <alignment vertical="center"/>
    </xf>
    <xf numFmtId="0" fontId="52" fillId="0" borderId="57" xfId="41" applyFont="1" applyBorder="1" applyAlignment="1">
      <alignment horizontal="center"/>
    </xf>
    <xf numFmtId="0" fontId="52" fillId="0" borderId="58" xfId="41" applyFont="1" applyBorder="1" applyAlignment="1">
      <alignment horizontal="center"/>
    </xf>
    <xf numFmtId="0" fontId="52" fillId="0" borderId="59" xfId="41" applyFont="1" applyBorder="1" applyAlignment="1">
      <alignment horizontal="center"/>
    </xf>
    <xf numFmtId="0" fontId="35" fillId="0" borderId="60" xfId="41" applyFont="1" applyBorder="1" applyAlignment="1">
      <alignment horizontal="center"/>
    </xf>
    <xf numFmtId="0" fontId="55" fillId="30" borderId="61" xfId="41" applyFont="1" applyFill="1" applyBorder="1" applyAlignment="1">
      <alignment vertical="top"/>
    </xf>
    <xf numFmtId="0" fontId="35" fillId="0" borderId="55" xfId="41" applyFont="1" applyBorder="1" applyAlignment="1">
      <alignment horizontal="center"/>
    </xf>
    <xf numFmtId="195" fontId="35" fillId="0" borderId="55" xfId="41" applyNumberFormat="1" applyFont="1" applyBorder="1" applyAlignment="1">
      <alignment vertical="top" textRotation="255"/>
    </xf>
    <xf numFmtId="0" fontId="55" fillId="30" borderId="62" xfId="41" applyFont="1" applyFill="1" applyBorder="1" applyAlignment="1">
      <alignment vertical="top"/>
    </xf>
    <xf numFmtId="0" fontId="35" fillId="0" borderId="38" xfId="41" applyFont="1" applyBorder="1"/>
    <xf numFmtId="0" fontId="35" fillId="0" borderId="38" xfId="41" applyFont="1" applyBorder="1" applyAlignment="1">
      <alignment textRotation="255"/>
    </xf>
    <xf numFmtId="0" fontId="35" fillId="0" borderId="57" xfId="41" applyFont="1" applyBorder="1" applyAlignment="1">
      <alignment textRotation="255"/>
    </xf>
    <xf numFmtId="0" fontId="55" fillId="30" borderId="56" xfId="41" applyFont="1" applyFill="1" applyBorder="1" applyAlignment="1">
      <alignment vertical="top"/>
    </xf>
    <xf numFmtId="0" fontId="55" fillId="30" borderId="63" xfId="41" applyFont="1" applyFill="1" applyBorder="1" applyAlignment="1">
      <alignment vertical="top"/>
    </xf>
    <xf numFmtId="0" fontId="55" fillId="30" borderId="63" xfId="41" applyFont="1" applyFill="1" applyBorder="1" applyAlignment="1">
      <alignment vertical="center"/>
    </xf>
    <xf numFmtId="0" fontId="36" fillId="27" borderId="39" xfId="41" applyFont="1" applyFill="1" applyBorder="1" applyAlignment="1">
      <alignment horizontal="left" vertical="top"/>
    </xf>
    <xf numFmtId="0" fontId="35" fillId="27" borderId="40" xfId="41" applyFont="1" applyFill="1" applyBorder="1" applyAlignment="1">
      <alignment horizontal="center" vertical="top"/>
    </xf>
    <xf numFmtId="0" fontId="35" fillId="27" borderId="41" xfId="41" applyFont="1" applyFill="1" applyBorder="1" applyAlignment="1">
      <alignment horizontal="right" vertical="top"/>
    </xf>
    <xf numFmtId="0" fontId="39" fillId="0" borderId="51" xfId="41" applyFont="1" applyBorder="1" applyAlignment="1">
      <alignment horizontal="center"/>
    </xf>
    <xf numFmtId="0" fontId="41" fillId="0" borderId="52" xfId="41" applyFont="1" applyBorder="1" applyAlignment="1">
      <alignment horizontal="center"/>
    </xf>
    <xf numFmtId="0" fontId="56" fillId="30" borderId="64" xfId="41" applyFont="1" applyFill="1" applyBorder="1"/>
    <xf numFmtId="0" fontId="55" fillId="30" borderId="65" xfId="41" applyFont="1" applyFill="1" applyBorder="1" applyAlignment="1">
      <alignment horizontal="left"/>
    </xf>
    <xf numFmtId="0" fontId="56" fillId="30" borderId="65" xfId="41" applyFont="1" applyFill="1" applyBorder="1"/>
    <xf numFmtId="0" fontId="56" fillId="30" borderId="65" xfId="41" applyFont="1" applyFill="1" applyBorder="1" applyAlignment="1">
      <alignment horizontal="right"/>
    </xf>
    <xf numFmtId="0" fontId="55" fillId="30" borderId="65" xfId="41" applyFont="1" applyFill="1" applyBorder="1" applyAlignment="1">
      <alignment vertical="top" textRotation="180"/>
    </xf>
    <xf numFmtId="0" fontId="55" fillId="30" borderId="66" xfId="41" applyFont="1" applyFill="1" applyBorder="1" applyAlignment="1">
      <alignment vertical="top" textRotation="180"/>
    </xf>
    <xf numFmtId="0" fontId="39" fillId="0" borderId="55" xfId="41" applyFont="1" applyBorder="1" applyAlignment="1">
      <alignment horizontal="center"/>
    </xf>
    <xf numFmtId="0" fontId="39" fillId="0" borderId="57" xfId="41" applyFont="1" applyBorder="1" applyAlignment="1">
      <alignment horizontal="center"/>
    </xf>
    <xf numFmtId="0" fontId="39" fillId="0" borderId="58" xfId="41" applyFont="1" applyBorder="1" applyAlignment="1">
      <alignment horizontal="center"/>
    </xf>
    <xf numFmtId="0" fontId="39" fillId="0" borderId="59" xfId="41" applyFont="1" applyBorder="1" applyAlignment="1">
      <alignment horizontal="center"/>
    </xf>
    <xf numFmtId="0" fontId="41" fillId="0" borderId="60" xfId="41" applyFont="1" applyBorder="1" applyAlignment="1">
      <alignment horizontal="center"/>
    </xf>
    <xf numFmtId="0" fontId="41" fillId="0" borderId="55" xfId="41" applyFont="1" applyBorder="1" applyAlignment="1">
      <alignment horizontal="center"/>
    </xf>
    <xf numFmtId="0" fontId="55" fillId="30" borderId="67" xfId="41" applyFont="1" applyFill="1" applyBorder="1" applyAlignment="1">
      <alignment vertical="top"/>
    </xf>
    <xf numFmtId="190" fontId="27" fillId="25" borderId="68" xfId="41" applyNumberFormat="1" applyFont="1" applyFill="1" applyBorder="1" applyAlignment="1">
      <alignment horizontal="center" vertical="center"/>
    </xf>
    <xf numFmtId="0" fontId="55" fillId="30" borderId="69" xfId="41" applyFont="1" applyFill="1" applyBorder="1" applyAlignment="1">
      <alignment horizontal="left"/>
    </xf>
    <xf numFmtId="0" fontId="56" fillId="30" borderId="69" xfId="41" applyFont="1" applyFill="1" applyBorder="1"/>
    <xf numFmtId="0" fontId="56" fillId="30" borderId="69" xfId="41" applyFont="1" applyFill="1" applyBorder="1" applyAlignment="1">
      <alignment horizontal="right"/>
    </xf>
    <xf numFmtId="0" fontId="55" fillId="30" borderId="69" xfId="41" applyFont="1" applyFill="1" applyBorder="1" applyAlignment="1">
      <alignment vertical="top" textRotation="180"/>
    </xf>
    <xf numFmtId="0" fontId="55" fillId="30" borderId="70" xfId="41" applyFont="1" applyFill="1" applyBorder="1" applyAlignment="1">
      <alignment vertical="top" textRotation="180"/>
    </xf>
    <xf numFmtId="0" fontId="38" fillId="24" borderId="44" xfId="40" applyFont="1" applyFill="1" applyBorder="1" applyAlignment="1">
      <alignment wrapText="1"/>
    </xf>
    <xf numFmtId="0" fontId="38" fillId="24" borderId="45" xfId="40" applyFont="1" applyFill="1" applyBorder="1" applyAlignment="1">
      <alignment wrapText="1"/>
    </xf>
    <xf numFmtId="0" fontId="38" fillId="24" borderId="48" xfId="40" applyFont="1" applyFill="1" applyBorder="1" applyAlignment="1">
      <alignment horizontal="left" wrapText="1"/>
    </xf>
    <xf numFmtId="0" fontId="35" fillId="24" borderId="46" xfId="42" applyNumberFormat="1" applyFont="1" applyFill="1" applyBorder="1" applyAlignment="1">
      <alignment horizontal="center" vertical="center"/>
    </xf>
    <xf numFmtId="0" fontId="36" fillId="27" borderId="49" xfId="42" applyFont="1" applyFill="1" applyBorder="1" applyAlignment="1"/>
    <xf numFmtId="0" fontId="35" fillId="27" borderId="32" xfId="42" applyFont="1" applyFill="1" applyBorder="1" applyAlignment="1"/>
    <xf numFmtId="0" fontId="35" fillId="27" borderId="50" xfId="42" applyFont="1" applyFill="1" applyBorder="1" applyAlignment="1">
      <alignment horizontal="right"/>
    </xf>
    <xf numFmtId="0" fontId="35" fillId="28" borderId="51" xfId="42" applyFont="1" applyFill="1" applyBorder="1" applyAlignment="1">
      <alignment horizontal="left"/>
    </xf>
    <xf numFmtId="0" fontId="39" fillId="0" borderId="51" xfId="42" applyFont="1" applyBorder="1" applyAlignment="1">
      <alignment horizontal="center"/>
    </xf>
    <xf numFmtId="0" fontId="35" fillId="0" borderId="52" xfId="42" applyFont="1" applyFill="1" applyBorder="1" applyAlignment="1">
      <alignment horizontal="left"/>
    </xf>
    <xf numFmtId="0" fontId="41" fillId="0" borderId="52" xfId="42" applyFont="1" applyBorder="1" applyAlignment="1">
      <alignment horizontal="center"/>
    </xf>
    <xf numFmtId="0" fontId="56" fillId="30" borderId="64" xfId="42" applyFont="1" applyFill="1" applyBorder="1"/>
    <xf numFmtId="0" fontId="55" fillId="30" borderId="53" xfId="42" applyFont="1" applyFill="1" applyBorder="1" applyAlignment="1">
      <alignment horizontal="left"/>
    </xf>
    <xf numFmtId="0" fontId="56" fillId="30" borderId="53" xfId="42" applyFont="1" applyFill="1" applyBorder="1"/>
    <xf numFmtId="0" fontId="56" fillId="30" borderId="53" xfId="42" applyFont="1" applyFill="1" applyBorder="1" applyAlignment="1">
      <alignment horizontal="right"/>
    </xf>
    <xf numFmtId="0" fontId="55" fillId="30" borderId="53" xfId="42" applyFont="1" applyFill="1" applyBorder="1" applyAlignment="1">
      <alignment vertical="top" textRotation="180"/>
    </xf>
    <xf numFmtId="0" fontId="55" fillId="30" borderId="54" xfId="42" applyFont="1" applyFill="1" applyBorder="1" applyAlignment="1">
      <alignment vertical="top" textRotation="180"/>
    </xf>
    <xf numFmtId="0" fontId="55" fillId="30" borderId="63" xfId="42" applyFont="1" applyFill="1" applyBorder="1" applyAlignment="1">
      <alignment vertical="center"/>
    </xf>
    <xf numFmtId="0" fontId="39" fillId="0" borderId="55" xfId="42" applyFont="1" applyBorder="1" applyAlignment="1">
      <alignment horizontal="center"/>
    </xf>
    <xf numFmtId="0" fontId="55" fillId="30" borderId="56" xfId="42" applyFont="1" applyFill="1" applyBorder="1" applyAlignment="1">
      <alignment vertical="center"/>
    </xf>
    <xf numFmtId="0" fontId="39" fillId="0" borderId="57" xfId="42" applyFont="1" applyBorder="1" applyAlignment="1">
      <alignment horizontal="center"/>
    </xf>
    <xf numFmtId="0" fontId="55" fillId="30" borderId="63" xfId="42" applyFont="1" applyFill="1" applyBorder="1" applyAlignment="1">
      <alignment vertical="top"/>
    </xf>
    <xf numFmtId="0" fontId="39" fillId="0" borderId="58" xfId="42" applyFont="1" applyBorder="1" applyAlignment="1">
      <alignment horizontal="center"/>
    </xf>
    <xf numFmtId="0" fontId="55" fillId="30" borderId="56" xfId="42" applyFont="1" applyFill="1" applyBorder="1" applyAlignment="1">
      <alignment vertical="top"/>
    </xf>
    <xf numFmtId="0" fontId="39" fillId="0" borderId="59" xfId="42" applyFont="1" applyBorder="1" applyAlignment="1">
      <alignment horizontal="center"/>
    </xf>
    <xf numFmtId="0" fontId="41" fillId="0" borderId="60" xfId="42" applyFont="1" applyBorder="1" applyAlignment="1">
      <alignment horizontal="center"/>
    </xf>
    <xf numFmtId="0" fontId="55" fillId="30" borderId="61" xfId="42" applyFont="1" applyFill="1" applyBorder="1" applyAlignment="1">
      <alignment vertical="top"/>
    </xf>
    <xf numFmtId="0" fontId="41" fillId="0" borderId="55" xfId="42" applyFont="1" applyBorder="1" applyAlignment="1">
      <alignment horizontal="center"/>
    </xf>
    <xf numFmtId="195" fontId="35" fillId="0" borderId="55" xfId="42" applyNumberFormat="1" applyFont="1" applyBorder="1" applyAlignment="1">
      <alignment vertical="top" textRotation="255"/>
    </xf>
    <xf numFmtId="0" fontId="55" fillId="30" borderId="62" xfId="42" applyFont="1" applyFill="1" applyBorder="1" applyAlignment="1">
      <alignment vertical="top"/>
    </xf>
    <xf numFmtId="0" fontId="35" fillId="0" borderId="38" xfId="42" applyFont="1" applyBorder="1"/>
    <xf numFmtId="0" fontId="35" fillId="0" borderId="38" xfId="42" applyFont="1" applyBorder="1" applyAlignment="1">
      <alignment textRotation="255"/>
    </xf>
    <xf numFmtId="0" fontId="35" fillId="0" borderId="57" xfId="42" applyFont="1" applyBorder="1" applyAlignment="1">
      <alignment textRotation="255"/>
    </xf>
    <xf numFmtId="0" fontId="23" fillId="0" borderId="43" xfId="41" applyFont="1" applyBorder="1" applyAlignment="1">
      <alignment horizontal="center" vertical="center"/>
    </xf>
    <xf numFmtId="0" fontId="45" fillId="0" borderId="43" xfId="41" applyFont="1" applyBorder="1" applyAlignment="1">
      <alignment horizontal="left"/>
    </xf>
    <xf numFmtId="0" fontId="45" fillId="0" borderId="10" xfId="41" applyFont="1" applyBorder="1" applyAlignment="1">
      <alignment horizontal="left" vertical="center"/>
    </xf>
    <xf numFmtId="0" fontId="45" fillId="0" borderId="48" xfId="41" applyFont="1" applyBorder="1" applyAlignment="1">
      <alignment horizontal="left" vertical="center"/>
    </xf>
    <xf numFmtId="0" fontId="45" fillId="0" borderId="11" xfId="41" applyFont="1" applyBorder="1" applyAlignment="1">
      <alignment horizontal="left" vertical="center"/>
    </xf>
    <xf numFmtId="1" fontId="30" fillId="24" borderId="43" xfId="41" applyNumberFormat="1" applyFont="1" applyFill="1" applyBorder="1" applyAlignment="1">
      <alignment vertical="center" wrapText="1"/>
    </xf>
    <xf numFmtId="1" fontId="30" fillId="24" borderId="10" xfId="41" applyNumberFormat="1" applyFont="1" applyFill="1" applyBorder="1" applyAlignment="1"/>
    <xf numFmtId="0" fontId="45" fillId="24" borderId="10" xfId="41" applyFont="1" applyFill="1" applyBorder="1" applyAlignment="1">
      <alignment horizontal="left"/>
    </xf>
    <xf numFmtId="0" fontId="45" fillId="24" borderId="48" xfId="41" applyFont="1" applyFill="1" applyBorder="1" applyAlignment="1">
      <alignment horizontal="left"/>
    </xf>
    <xf numFmtId="0" fontId="45" fillId="24" borderId="11" xfId="41" applyFont="1" applyFill="1" applyBorder="1" applyAlignment="1">
      <alignment horizontal="left"/>
    </xf>
    <xf numFmtId="0" fontId="45" fillId="24" borderId="10" xfId="41" applyFont="1" applyFill="1" applyBorder="1" applyAlignment="1">
      <alignment horizontal="left" vertical="top" wrapText="1"/>
    </xf>
    <xf numFmtId="0" fontId="45" fillId="24" borderId="48" xfId="41" applyFont="1" applyFill="1" applyBorder="1" applyAlignment="1">
      <alignment horizontal="left" vertical="top" wrapText="1"/>
    </xf>
    <xf numFmtId="0" fontId="45" fillId="24" borderId="11" xfId="41" applyFont="1" applyFill="1" applyBorder="1" applyAlignment="1">
      <alignment horizontal="left" vertical="top" wrapText="1"/>
    </xf>
    <xf numFmtId="1" fontId="30" fillId="24" borderId="10" xfId="41" applyNumberFormat="1" applyFont="1" applyFill="1" applyBorder="1" applyAlignment="1">
      <alignment horizontal="left"/>
    </xf>
    <xf numFmtId="1" fontId="30" fillId="24" borderId="48" xfId="41" applyNumberFormat="1" applyFont="1" applyFill="1" applyBorder="1" applyAlignment="1">
      <alignment horizontal="left"/>
    </xf>
    <xf numFmtId="1" fontId="30" fillId="24" borderId="11" xfId="41" applyNumberFormat="1" applyFont="1" applyFill="1" applyBorder="1" applyAlignment="1">
      <alignment horizontal="left"/>
    </xf>
    <xf numFmtId="0" fontId="23" fillId="24" borderId="0" xfId="38" applyFont="1" applyFill="1" applyBorder="1" applyAlignment="1">
      <alignment horizontal="center"/>
    </xf>
    <xf numFmtId="0" fontId="45" fillId="24" borderId="43" xfId="41" applyFont="1" applyFill="1" applyBorder="1" applyAlignment="1">
      <alignment horizontal="left"/>
    </xf>
    <xf numFmtId="0" fontId="30" fillId="24" borderId="43" xfId="41" applyFont="1" applyFill="1" applyBorder="1" applyAlignment="1">
      <alignment horizontal="left"/>
    </xf>
    <xf numFmtId="0" fontId="30" fillId="24" borderId="10" xfId="41" applyFont="1" applyFill="1" applyBorder="1" applyAlignment="1">
      <alignment horizontal="center"/>
    </xf>
    <xf numFmtId="0" fontId="30" fillId="24" borderId="48" xfId="41" applyFont="1" applyFill="1" applyBorder="1" applyAlignment="1">
      <alignment horizontal="center"/>
    </xf>
    <xf numFmtId="0" fontId="30" fillId="24" borderId="11" xfId="41" applyFont="1" applyFill="1" applyBorder="1" applyAlignment="1">
      <alignment horizontal="center"/>
    </xf>
    <xf numFmtId="14" fontId="45" fillId="24" borderId="10" xfId="41" applyNumberFormat="1" applyFont="1" applyFill="1" applyBorder="1" applyAlignment="1">
      <alignment horizontal="left" vertical="top"/>
    </xf>
    <xf numFmtId="14" fontId="45" fillId="24" borderId="48" xfId="41" applyNumberFormat="1" applyFont="1" applyFill="1" applyBorder="1" applyAlignment="1">
      <alignment horizontal="left" vertical="top"/>
    </xf>
    <xf numFmtId="14" fontId="45" fillId="24" borderId="11" xfId="41" applyNumberFormat="1" applyFont="1" applyFill="1" applyBorder="1" applyAlignment="1">
      <alignment horizontal="left" vertical="top"/>
    </xf>
    <xf numFmtId="0" fontId="45" fillId="24" borderId="43" xfId="38" applyFont="1" applyFill="1" applyBorder="1" applyAlignment="1">
      <alignment vertical="top"/>
    </xf>
    <xf numFmtId="0" fontId="36" fillId="24" borderId="85" xfId="39" applyFont="1" applyFill="1" applyBorder="1" applyAlignment="1">
      <alignment horizontal="left" wrapText="1"/>
    </xf>
    <xf numFmtId="0" fontId="36" fillId="24" borderId="74" xfId="39" applyFont="1" applyFill="1" applyBorder="1" applyAlignment="1">
      <alignment horizontal="left" wrapText="1"/>
    </xf>
    <xf numFmtId="49" fontId="38" fillId="24" borderId="73" xfId="39" applyNumberFormat="1" applyFont="1" applyFill="1" applyBorder="1" applyAlignment="1">
      <alignment horizontal="left" wrapText="1"/>
    </xf>
    <xf numFmtId="0" fontId="38" fillId="24" borderId="74" xfId="39" applyFont="1" applyFill="1" applyBorder="1" applyAlignment="1">
      <alignment horizontal="left" wrapText="1"/>
    </xf>
    <xf numFmtId="0" fontId="38" fillId="24" borderId="86" xfId="39" applyFont="1" applyFill="1" applyBorder="1" applyAlignment="1">
      <alignment horizontal="left" wrapText="1"/>
    </xf>
    <xf numFmtId="0" fontId="36" fillId="24" borderId="87" xfId="39" applyFont="1" applyFill="1" applyBorder="1" applyAlignment="1">
      <alignment horizontal="left" wrapText="1"/>
    </xf>
    <xf numFmtId="0" fontId="36" fillId="24" borderId="88" xfId="39" applyFont="1" applyFill="1" applyBorder="1" applyAlignment="1">
      <alignment horizontal="left" wrapText="1"/>
    </xf>
    <xf numFmtId="0" fontId="35" fillId="0" borderId="33" xfId="41" applyFont="1" applyBorder="1" applyAlignment="1">
      <alignment horizontal="left"/>
    </xf>
    <xf numFmtId="0" fontId="35" fillId="24" borderId="89" xfId="41" applyFont="1" applyFill="1" applyBorder="1" applyAlignment="1">
      <alignment horizontal="center" vertical="center"/>
    </xf>
    <xf numFmtId="0" fontId="35" fillId="24" borderId="83" xfId="41" applyFont="1" applyFill="1" applyBorder="1" applyAlignment="1">
      <alignment horizontal="center" vertical="center"/>
    </xf>
    <xf numFmtId="0" fontId="35" fillId="24" borderId="90" xfId="41" applyFont="1" applyFill="1" applyBorder="1" applyAlignment="1">
      <alignment horizontal="center" vertical="center"/>
    </xf>
    <xf numFmtId="0" fontId="35" fillId="24" borderId="91" xfId="41" applyFont="1" applyFill="1" applyBorder="1" applyAlignment="1">
      <alignment horizontal="center" vertical="center"/>
    </xf>
    <xf numFmtId="0" fontId="35" fillId="24" borderId="92" xfId="41" applyFont="1" applyFill="1" applyBorder="1" applyAlignment="1">
      <alignment horizontal="center" vertical="center"/>
    </xf>
    <xf numFmtId="0" fontId="36" fillId="24" borderId="80" xfId="39" applyFont="1" applyFill="1" applyBorder="1" applyAlignment="1">
      <alignment horizontal="left" wrapText="1"/>
    </xf>
    <xf numFmtId="0" fontId="36" fillId="24" borderId="11" xfId="39" applyFont="1" applyFill="1" applyBorder="1" applyAlignment="1">
      <alignment horizontal="left" wrapText="1"/>
    </xf>
    <xf numFmtId="0" fontId="38" fillId="24" borderId="10" xfId="39" applyFont="1" applyFill="1" applyBorder="1" applyAlignment="1">
      <alignment horizontal="center" wrapText="1"/>
    </xf>
    <xf numFmtId="0" fontId="38" fillId="24" borderId="48" xfId="39" applyFont="1" applyFill="1" applyBorder="1" applyAlignment="1">
      <alignment horizontal="center" wrapText="1"/>
    </xf>
    <xf numFmtId="0" fontId="35" fillId="0" borderId="33" xfId="41" applyFont="1" applyBorder="1" applyAlignment="1">
      <alignment horizontal="left" vertical="top"/>
    </xf>
    <xf numFmtId="0" fontId="35" fillId="0" borderId="38" xfId="41" applyFont="1" applyBorder="1" applyAlignment="1">
      <alignment horizontal="left" vertical="top"/>
    </xf>
    <xf numFmtId="0" fontId="35" fillId="0" borderId="52" xfId="41" applyFont="1" applyFill="1" applyBorder="1" applyAlignment="1">
      <alignment horizontal="left"/>
    </xf>
    <xf numFmtId="0" fontId="38" fillId="24" borderId="78" xfId="39" applyFont="1" applyFill="1" applyBorder="1" applyAlignment="1">
      <alignment horizontal="left" wrapText="1"/>
    </xf>
    <xf numFmtId="0" fontId="38" fillId="24" borderId="44" xfId="39" applyFont="1" applyFill="1" applyBorder="1" applyAlignment="1">
      <alignment horizontal="left" wrapText="1"/>
    </xf>
    <xf numFmtId="0" fontId="38" fillId="24" borderId="79" xfId="39" applyFont="1" applyFill="1" applyBorder="1" applyAlignment="1">
      <alignment horizontal="left" wrapText="1"/>
    </xf>
    <xf numFmtId="0" fontId="35" fillId="0" borderId="0" xfId="41" applyFont="1" applyBorder="1" applyAlignment="1">
      <alignment horizontal="right"/>
    </xf>
    <xf numFmtId="0" fontId="36" fillId="24" borderId="80" xfId="41" applyFont="1" applyFill="1" applyBorder="1" applyAlignment="1">
      <alignment horizontal="center" vertical="center"/>
    </xf>
    <xf numFmtId="0" fontId="36" fillId="24" borderId="11" xfId="41" applyFont="1" applyFill="1" applyBorder="1" applyAlignment="1">
      <alignment horizontal="center" vertical="center"/>
    </xf>
    <xf numFmtId="0" fontId="38" fillId="24" borderId="81" xfId="39" applyFont="1" applyFill="1" applyBorder="1" applyAlignment="1">
      <alignment horizontal="left" wrapText="1"/>
    </xf>
    <xf numFmtId="0" fontId="38" fillId="24" borderId="82" xfId="39" applyFont="1" applyFill="1" applyBorder="1" applyAlignment="1">
      <alignment horizontal="left" wrapText="1"/>
    </xf>
    <xf numFmtId="0" fontId="36" fillId="24" borderId="48" xfId="41" applyFont="1" applyFill="1" applyBorder="1" applyAlignment="1">
      <alignment horizontal="center" vertical="center" wrapText="1"/>
    </xf>
    <xf numFmtId="0" fontId="35" fillId="24" borderId="46" xfId="41" applyFont="1" applyFill="1" applyBorder="1" applyAlignment="1">
      <alignment horizontal="center" vertical="center"/>
    </xf>
    <xf numFmtId="0" fontId="35" fillId="24" borderId="84" xfId="41" applyFont="1" applyFill="1" applyBorder="1" applyAlignment="1">
      <alignment horizontal="center" vertical="center"/>
    </xf>
    <xf numFmtId="0" fontId="36" fillId="24" borderId="71" xfId="41" applyFont="1" applyFill="1" applyBorder="1" applyAlignment="1">
      <alignment horizontal="center" vertical="center" wrapText="1"/>
    </xf>
    <xf numFmtId="0" fontId="36" fillId="24" borderId="72" xfId="41" applyFont="1" applyFill="1" applyBorder="1" applyAlignment="1">
      <alignment horizontal="center" vertical="center" wrapText="1"/>
    </xf>
    <xf numFmtId="49" fontId="35" fillId="24" borderId="73" xfId="39" applyNumberFormat="1" applyFont="1" applyFill="1" applyBorder="1" applyAlignment="1">
      <alignment horizontal="center" wrapText="1"/>
    </xf>
    <xf numFmtId="0" fontId="35" fillId="24" borderId="74" xfId="39" applyFont="1" applyFill="1" applyBorder="1" applyAlignment="1">
      <alignment horizontal="center" wrapText="1"/>
    </xf>
    <xf numFmtId="0" fontId="35" fillId="24" borderId="75" xfId="39" applyFont="1" applyFill="1" applyBorder="1" applyAlignment="1">
      <alignment horizontal="center" wrapText="1"/>
    </xf>
    <xf numFmtId="0" fontId="36" fillId="24" borderId="10" xfId="41" applyFont="1" applyFill="1" applyBorder="1" applyAlignment="1">
      <alignment horizontal="center" vertical="center" wrapText="1"/>
    </xf>
    <xf numFmtId="0" fontId="36" fillId="24" borderId="11" xfId="41" applyFont="1" applyFill="1" applyBorder="1" applyAlignment="1">
      <alignment horizontal="center" vertical="center" wrapText="1"/>
    </xf>
    <xf numFmtId="0" fontId="36" fillId="24" borderId="29" xfId="39" applyFont="1" applyFill="1" applyBorder="1" applyAlignment="1">
      <alignment horizontal="left" wrapText="1"/>
    </xf>
    <xf numFmtId="0" fontId="36" fillId="24" borderId="30" xfId="39" applyFont="1" applyFill="1" applyBorder="1" applyAlignment="1">
      <alignment horizontal="left" wrapText="1"/>
    </xf>
    <xf numFmtId="0" fontId="36" fillId="24" borderId="31" xfId="39" applyFont="1" applyFill="1" applyBorder="1" applyAlignment="1">
      <alignment horizontal="left" wrapText="1"/>
    </xf>
    <xf numFmtId="0" fontId="35" fillId="24" borderId="71" xfId="39" applyFont="1" applyFill="1" applyBorder="1" applyAlignment="1">
      <alignment horizontal="center" wrapText="1"/>
    </xf>
    <xf numFmtId="0" fontId="35" fillId="24" borderId="48" xfId="39" applyFont="1" applyFill="1" applyBorder="1" applyAlignment="1">
      <alignment horizontal="center" wrapText="1"/>
    </xf>
    <xf numFmtId="0" fontId="35" fillId="24" borderId="76" xfId="39" applyFont="1" applyFill="1" applyBorder="1" applyAlignment="1">
      <alignment horizontal="center" wrapText="1"/>
    </xf>
    <xf numFmtId="0" fontId="36" fillId="24" borderId="77" xfId="41" applyFont="1" applyFill="1" applyBorder="1" applyAlignment="1">
      <alignment horizontal="center" vertical="center" wrapText="1"/>
    </xf>
    <xf numFmtId="0" fontId="36" fillId="24" borderId="95" xfId="39" applyFont="1" applyFill="1" applyBorder="1" applyAlignment="1">
      <alignment horizontal="left" wrapText="1"/>
    </xf>
    <xf numFmtId="0" fontId="36" fillId="24" borderId="47" xfId="39" applyFont="1" applyFill="1" applyBorder="1" applyAlignment="1">
      <alignment horizontal="left" wrapText="1"/>
    </xf>
    <xf numFmtId="49" fontId="38" fillId="24" borderId="47" xfId="39" applyNumberFormat="1" applyFont="1" applyFill="1" applyBorder="1" applyAlignment="1">
      <alignment horizontal="left" wrapText="1"/>
    </xf>
    <xf numFmtId="49" fontId="38" fillId="24" borderId="96" xfId="39" applyNumberFormat="1" applyFont="1" applyFill="1" applyBorder="1" applyAlignment="1">
      <alignment horizontal="left" wrapText="1"/>
    </xf>
    <xf numFmtId="0" fontId="34" fillId="0" borderId="47" xfId="0" applyFont="1" applyBorder="1">
      <alignment vertical="center"/>
    </xf>
    <xf numFmtId="0" fontId="36" fillId="24" borderId="39" xfId="39" applyFont="1" applyFill="1" applyBorder="1" applyAlignment="1">
      <alignment horizontal="left" wrapText="1"/>
    </xf>
    <xf numFmtId="0" fontId="36" fillId="24" borderId="40" xfId="39" applyFont="1" applyFill="1" applyBorder="1" applyAlignment="1">
      <alignment horizontal="left" wrapText="1"/>
    </xf>
    <xf numFmtId="0" fontId="36" fillId="24" borderId="41" xfId="39" applyFont="1" applyFill="1" applyBorder="1" applyAlignment="1">
      <alignment horizontal="left" wrapText="1"/>
    </xf>
    <xf numFmtId="0" fontId="36" fillId="24" borderId="93" xfId="39" applyFont="1" applyFill="1" applyBorder="1" applyAlignment="1">
      <alignment horizontal="left" wrapText="1"/>
    </xf>
    <xf numFmtId="0" fontId="36" fillId="24" borderId="94" xfId="39" applyFont="1" applyFill="1" applyBorder="1" applyAlignment="1">
      <alignment horizontal="left" wrapText="1"/>
    </xf>
    <xf numFmtId="49" fontId="38" fillId="24" borderId="97" xfId="39" applyNumberFormat="1" applyFont="1" applyFill="1" applyBorder="1" applyAlignment="1">
      <alignment horizontal="left" wrapText="1"/>
    </xf>
    <xf numFmtId="49" fontId="38" fillId="24" borderId="98" xfId="39" applyNumberFormat="1" applyFont="1" applyFill="1" applyBorder="1" applyAlignment="1">
      <alignment horizontal="left" wrapText="1"/>
    </xf>
    <xf numFmtId="49" fontId="38" fillId="24" borderId="99" xfId="39" applyNumberFormat="1" applyFont="1" applyFill="1" applyBorder="1" applyAlignment="1">
      <alignment horizontal="left" wrapText="1"/>
    </xf>
    <xf numFmtId="0" fontId="36" fillId="24" borderId="10" xfId="42" applyFont="1" applyFill="1" applyBorder="1" applyAlignment="1">
      <alignment horizontal="center" vertical="center" wrapText="1"/>
    </xf>
    <xf numFmtId="0" fontId="36" fillId="24" borderId="48" xfId="42" applyFont="1" applyFill="1" applyBorder="1" applyAlignment="1">
      <alignment horizontal="center" vertical="center" wrapText="1"/>
    </xf>
    <xf numFmtId="0" fontId="36" fillId="24" borderId="77" xfId="42" applyFont="1" applyFill="1" applyBorder="1" applyAlignment="1">
      <alignment horizontal="center" vertical="center" wrapText="1"/>
    </xf>
    <xf numFmtId="0" fontId="36" fillId="24" borderId="29" xfId="40" applyFont="1" applyFill="1" applyBorder="1" applyAlignment="1">
      <alignment horizontal="left" wrapText="1"/>
    </xf>
    <xf numFmtId="0" fontId="36" fillId="24" borderId="30" xfId="40" applyFont="1" applyFill="1" applyBorder="1" applyAlignment="1">
      <alignment horizontal="left" wrapText="1"/>
    </xf>
    <xf numFmtId="0" fontId="36" fillId="24" borderId="31" xfId="40" applyFont="1" applyFill="1" applyBorder="1" applyAlignment="1">
      <alignment horizontal="left" wrapText="1"/>
    </xf>
    <xf numFmtId="0" fontId="36" fillId="24" borderId="71" xfId="42" applyFont="1" applyFill="1" applyBorder="1" applyAlignment="1">
      <alignment horizontal="center" vertical="center" wrapText="1"/>
    </xf>
    <xf numFmtId="0" fontId="36" fillId="24" borderId="72" xfId="42" applyFont="1" applyFill="1" applyBorder="1" applyAlignment="1">
      <alignment horizontal="center" vertical="center" wrapText="1"/>
    </xf>
    <xf numFmtId="0" fontId="38" fillId="24" borderId="44" xfId="40" applyFont="1" applyFill="1" applyBorder="1" applyAlignment="1">
      <alignment horizontal="left" wrapText="1"/>
    </xf>
    <xf numFmtId="0" fontId="35" fillId="24" borderId="71" xfId="40" applyFont="1" applyFill="1" applyBorder="1" applyAlignment="1">
      <alignment horizontal="center" wrapText="1"/>
    </xf>
    <xf numFmtId="0" fontId="35" fillId="24" borderId="48" xfId="40" applyFont="1" applyFill="1" applyBorder="1" applyAlignment="1">
      <alignment horizontal="center" wrapText="1"/>
    </xf>
    <xf numFmtId="0" fontId="35" fillId="24" borderId="76" xfId="40" applyFont="1" applyFill="1" applyBorder="1" applyAlignment="1">
      <alignment horizontal="center" wrapText="1"/>
    </xf>
    <xf numFmtId="0" fontId="38" fillId="24" borderId="10" xfId="40" applyFont="1" applyFill="1" applyBorder="1" applyAlignment="1">
      <alignment horizontal="center" wrapText="1"/>
    </xf>
    <xf numFmtId="0" fontId="38" fillId="24" borderId="48" xfId="40" applyFont="1" applyFill="1" applyBorder="1" applyAlignment="1">
      <alignment horizontal="center" wrapText="1"/>
    </xf>
    <xf numFmtId="0" fontId="35" fillId="0" borderId="33" xfId="42" applyFont="1" applyBorder="1" applyAlignment="1">
      <alignment horizontal="left"/>
    </xf>
    <xf numFmtId="0" fontId="35" fillId="0" borderId="33" xfId="42" applyFont="1" applyBorder="1" applyAlignment="1">
      <alignment horizontal="left" vertical="top"/>
    </xf>
    <xf numFmtId="0" fontId="35" fillId="24" borderId="89" xfId="42" applyFont="1" applyFill="1" applyBorder="1" applyAlignment="1">
      <alignment horizontal="center" vertical="center"/>
    </xf>
    <xf numFmtId="0" fontId="35" fillId="24" borderId="83" xfId="42" applyFont="1" applyFill="1" applyBorder="1" applyAlignment="1">
      <alignment horizontal="center" vertical="center"/>
    </xf>
    <xf numFmtId="0" fontId="35" fillId="24" borderId="91" xfId="42" applyFont="1" applyFill="1" applyBorder="1" applyAlignment="1">
      <alignment horizontal="center" vertical="center"/>
    </xf>
    <xf numFmtId="0" fontId="35" fillId="24" borderId="92" xfId="42" applyFont="1" applyFill="1" applyBorder="1" applyAlignment="1">
      <alignment horizontal="center" vertical="center"/>
    </xf>
    <xf numFmtId="0" fontId="36" fillId="24" borderId="11" xfId="42" applyFont="1" applyFill="1" applyBorder="1" applyAlignment="1">
      <alignment horizontal="center" vertical="center" wrapText="1"/>
    </xf>
    <xf numFmtId="0" fontId="36" fillId="24" borderId="80" xfId="40" applyFont="1" applyFill="1" applyBorder="1" applyAlignment="1">
      <alignment horizontal="left" wrapText="1"/>
    </xf>
    <xf numFmtId="0" fontId="36" fillId="24" borderId="11" xfId="40" applyFont="1" applyFill="1" applyBorder="1" applyAlignment="1">
      <alignment horizontal="left" wrapText="1"/>
    </xf>
    <xf numFmtId="0" fontId="35" fillId="0" borderId="38" xfId="42" applyFont="1" applyBorder="1" applyAlignment="1">
      <alignment horizontal="left" vertical="top"/>
    </xf>
    <xf numFmtId="0" fontId="35" fillId="0" borderId="52" xfId="42" applyFont="1" applyFill="1" applyBorder="1" applyAlignment="1">
      <alignment horizontal="left"/>
    </xf>
    <xf numFmtId="0" fontId="38" fillId="24" borderId="78" xfId="40" applyFont="1" applyFill="1" applyBorder="1" applyAlignment="1">
      <alignment horizontal="left" wrapText="1"/>
    </xf>
    <xf numFmtId="0" fontId="38" fillId="24" borderId="79" xfId="40" applyFont="1" applyFill="1" applyBorder="1" applyAlignment="1">
      <alignment horizontal="left" wrapText="1"/>
    </xf>
    <xf numFmtId="0" fontId="35" fillId="0" borderId="0" xfId="42" applyFont="1" applyBorder="1" applyAlignment="1">
      <alignment horizontal="right"/>
    </xf>
    <xf numFmtId="0" fontId="36" fillId="24" borderId="80" xfId="42" applyFont="1" applyFill="1" applyBorder="1" applyAlignment="1">
      <alignment horizontal="center" vertical="center"/>
    </xf>
    <xf numFmtId="0" fontId="36" fillId="24" borderId="11" xfId="42" applyFont="1" applyFill="1" applyBorder="1" applyAlignment="1">
      <alignment horizontal="center" vertical="center"/>
    </xf>
    <xf numFmtId="0" fontId="38" fillId="24" borderId="81" xfId="40" applyFont="1" applyFill="1" applyBorder="1" applyAlignment="1">
      <alignment horizontal="left" wrapText="1"/>
    </xf>
    <xf numFmtId="0" fontId="38" fillId="24" borderId="82" xfId="40" applyFont="1" applyFill="1" applyBorder="1" applyAlignment="1">
      <alignment horizontal="left" wrapText="1"/>
    </xf>
    <xf numFmtId="0" fontId="35" fillId="24" borderId="46" xfId="42" applyFont="1" applyFill="1" applyBorder="1" applyAlignment="1">
      <alignment horizontal="center" vertical="center"/>
    </xf>
    <xf numFmtId="0" fontId="35" fillId="24" borderId="84" xfId="42" applyFont="1" applyFill="1" applyBorder="1" applyAlignment="1">
      <alignment horizontal="center" vertical="center"/>
    </xf>
    <xf numFmtId="0" fontId="35" fillId="24" borderId="90" xfId="42" applyFont="1" applyFill="1" applyBorder="1" applyAlignment="1">
      <alignment horizontal="center" vertical="center"/>
    </xf>
  </cellXfs>
  <cellStyles count="49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Hyperlink" xfId="34" builtinId="8"/>
    <cellStyle name="Input" xfId="35" builtinId="20" customBuiltin="1"/>
    <cellStyle name="Linked Cell" xfId="36" builtinId="24" customBuiltin="1"/>
    <cellStyle name="Neutral" xfId="37" builtinId="28" customBuiltin="1"/>
    <cellStyle name="Normal" xfId="0" builtinId="0"/>
    <cellStyle name="Normal_Functional Test Case v1.0" xfId="38" xr:uid="{D1DD0B3F-A210-4700-99C4-655329EDD01F}"/>
    <cellStyle name="Normal_Sheet1" xfId="39" xr:uid="{60744BF8-D378-488A-B6AE-E4985C55A4FF}"/>
    <cellStyle name="Normal_Sheet1_Template_UnitTest Case_v0.9" xfId="40" xr:uid="{568BFEB7-C3B8-4D91-B6CA-EC14739D164F}"/>
    <cellStyle name="Normal_Template_UnitTest Case_v0.9" xfId="41" xr:uid="{7C01958B-09AE-4EE4-952C-E79F3B21F8EB}"/>
    <cellStyle name="Normal_Template_UnitTest Case_v0.9_Template_UnitTest Case_v0.9" xfId="42" xr:uid="{7CF53112-4BBB-4CDD-9BB3-DCFA092D16F7}"/>
    <cellStyle name="Note" xfId="43" builtinId="10" customBuiltin="1"/>
    <cellStyle name="Output" xfId="44" builtinId="21" customBuiltin="1"/>
    <cellStyle name="Title" xfId="45" builtinId="15" customBuiltin="1"/>
    <cellStyle name="Total" xfId="46" builtinId="25" customBuiltin="1"/>
    <cellStyle name="Warning Text" xfId="47" builtinId="11" customBuiltin="1"/>
    <cellStyle name="標準_結合試験(AllOvertheWorld)" xfId="48" xr:uid="{BEF5D054-AEAF-40F9-85EF-1814CD8F423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r>
              <a:rPr lang="en-US"/>
              <a:t>Test Type</a:t>
            </a:r>
          </a:p>
        </c:rich>
      </c:tx>
      <c:layout>
        <c:manualLayout>
          <c:xMode val="edge"/>
          <c:yMode val="edge"/>
          <c:x val="0.41836741823654294"/>
          <c:y val="3.9062349349188494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153061224489796"/>
          <c:y val="0.26562550664044693"/>
          <c:w val="0.39795918367346939"/>
          <c:h val="0.60937616229279001"/>
        </c:manualLayout>
      </c:layout>
      <c:pie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9392-492C-B92E-56B5F96BE986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392-492C-B92E-56B5F96BE986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9392-492C-B92E-56B5F96BE986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Statistics!$F$17:$H$17</c:f>
              <c:numCache>
                <c:formatCode>General</c:formatCode>
                <c:ptCount val="3"/>
                <c:pt idx="0">
                  <c:v>35</c:v>
                </c:pt>
                <c:pt idx="1">
                  <c:v>7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92-492C-B92E-56B5F96BE986}"/>
            </c:ext>
          </c:extLst>
        </c:ser>
        <c:ser>
          <c:idx val="1"/>
          <c:order val="1"/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9392-492C-B92E-56B5F96BE98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5-9392-492C-B92E-56B5F96BE986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9392-492C-B92E-56B5F96BE986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Statistics!$F$16:$H$16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7-9392-492C-B92E-56B5F96BE986}"/>
            </c:ext>
          </c:extLst>
        </c:ser>
        <c:ser>
          <c:idx val="2"/>
          <c:order val="2"/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9392-492C-B92E-56B5F96BE98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9-9392-492C-B92E-56B5F96BE98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A-9392-492C-B92E-56B5F96BE986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Statistics!#REF!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92-492C-B92E-56B5F96BE986}"/>
            </c:ext>
          </c:extLst>
        </c:ser>
        <c:ser>
          <c:idx val="3"/>
          <c:order val="3"/>
          <c:spPr>
            <a:solidFill>
              <a:srgbClr val="CCFF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C-9392-492C-B92E-56B5F96BE98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D-9392-492C-B92E-56B5F96BE98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E-9392-492C-B92E-56B5F96BE986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Statistics!#REF!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92-492C-B92E-56B5F96BE986}"/>
            </c:ext>
          </c:extLst>
        </c:ser>
        <c:ser>
          <c:idx val="4"/>
          <c:order val="4"/>
          <c:spPr>
            <a:solidFill>
              <a:srgbClr val="660066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0-9392-492C-B92E-56B5F96BE986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392-492C-B92E-56B5F96BE986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2-9392-492C-B92E-56B5F96BE986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Statistics!$F$17:$H$17</c:f>
              <c:numCache>
                <c:formatCode>General</c:formatCode>
                <c:ptCount val="3"/>
                <c:pt idx="0">
                  <c:v>35</c:v>
                </c:pt>
                <c:pt idx="1">
                  <c:v>7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92-492C-B92E-56B5F96BE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9454778505858337"/>
          <c:y val="0.40362821018478595"/>
          <c:w val="9.5893698196725566E-2"/>
          <c:h val="0.30422723304972671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63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  <a:cs typeface="ＭＳ Ｐゴシック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00" b="0" i="0" u="none" strike="noStrike" baseline="0">
          <a:solidFill>
            <a:srgbClr val="000000"/>
          </a:solidFill>
          <a:latin typeface="ＭＳ Ｐゴシック"/>
          <a:ea typeface="ＭＳ Ｐゴシック"/>
          <a:cs typeface="ＭＳ Ｐゴシック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r>
              <a:rPr lang="en-US"/>
              <a:t>Passed Percent</a:t>
            </a:r>
          </a:p>
        </c:rich>
      </c:tx>
      <c:layout>
        <c:manualLayout>
          <c:xMode val="edge"/>
          <c:yMode val="edge"/>
          <c:x val="0.36547091315078151"/>
          <c:y val="3.952592713475582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3094170403587444"/>
          <c:y val="0.28063295267908667"/>
          <c:w val="0.33856502242152464"/>
          <c:h val="0.59683909654284628"/>
        </c:manualLayout>
      </c:layout>
      <c:pie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1144-4ADC-B530-866BC3E346AE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144-4ADC-B530-866BC3E346AE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1144-4ADC-B530-866BC3E346AE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Statistics!$C$17:$E$17</c:f>
              <c:numCache>
                <c:formatCode>General</c:formatCode>
                <c:ptCount val="3"/>
                <c:pt idx="0">
                  <c:v>36</c:v>
                </c:pt>
                <c:pt idx="1">
                  <c:v>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44-4ADC-B530-866BC3E346AE}"/>
            </c:ext>
          </c:extLst>
        </c:ser>
        <c:ser>
          <c:idx val="1"/>
          <c:order val="1"/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1144-4ADC-B530-866BC3E346AE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5-1144-4ADC-B530-866BC3E346AE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1144-4ADC-B530-866BC3E346AE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Statistics!$C$16:$E$16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7-1144-4ADC-B530-866BC3E346AE}"/>
            </c:ext>
          </c:extLst>
        </c:ser>
        <c:ser>
          <c:idx val="2"/>
          <c:order val="2"/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1144-4ADC-B530-866BC3E346AE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9-1144-4ADC-B530-866BC3E346AE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A-1144-4ADC-B530-866BC3E346AE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Statistics!#REF!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144-4ADC-B530-866BC3E346AE}"/>
            </c:ext>
          </c:extLst>
        </c:ser>
        <c:ser>
          <c:idx val="3"/>
          <c:order val="3"/>
          <c:spPr>
            <a:solidFill>
              <a:srgbClr val="CCFF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C-1144-4ADC-B530-866BC3E346AE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D-1144-4ADC-B530-866BC3E346AE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E-1144-4ADC-B530-866BC3E346AE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Statistics!#REF!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144-4ADC-B530-866BC3E346AE}"/>
            </c:ext>
          </c:extLst>
        </c:ser>
        <c:ser>
          <c:idx val="4"/>
          <c:order val="4"/>
          <c:spPr>
            <a:solidFill>
              <a:srgbClr val="660066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0-1144-4ADC-B530-866BC3E346AE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144-4ADC-B530-866BC3E346AE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2-1144-4ADC-B530-866BC3E346AE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Statistics!$C$17:$E$17</c:f>
              <c:numCache>
                <c:formatCode>General</c:formatCode>
                <c:ptCount val="3"/>
                <c:pt idx="0">
                  <c:v>36</c:v>
                </c:pt>
                <c:pt idx="1">
                  <c:v>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1144-4ADC-B530-866BC3E34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6895027799190219"/>
          <c:y val="0.44343865740818156"/>
          <c:w val="0.21315461073868797"/>
          <c:h val="0.28747057790599356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8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  <a:cs typeface="ＭＳ Ｐゴシック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ＭＳ Ｐゴシック"/>
          <a:ea typeface="ＭＳ Ｐゴシック"/>
          <a:cs typeface="ＭＳ Ｐゴシック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91440</xdr:rowOff>
    </xdr:from>
    <xdr:to>
      <xdr:col>0</xdr:col>
      <xdr:colOff>1920240</xdr:colOff>
      <xdr:row>1</xdr:row>
      <xdr:rowOff>792480</xdr:rowOff>
    </xdr:to>
    <xdr:pic>
      <xdr:nvPicPr>
        <xdr:cNvPr id="1062" name="Picture 1">
          <a:extLst>
            <a:ext uri="{FF2B5EF4-FFF2-40B4-BE49-F238E27FC236}">
              <a16:creationId xmlns:a16="http://schemas.microsoft.com/office/drawing/2014/main" id="{BCB55E65-7DC6-DE91-9778-DB16CA1334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"/>
          <a:ext cx="1920240" cy="701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487680</xdr:colOff>
      <xdr:row>24</xdr:row>
      <xdr:rowOff>0</xdr:rowOff>
    </xdr:from>
    <xdr:to>
      <xdr:col>9</xdr:col>
      <xdr:colOff>0</xdr:colOff>
      <xdr:row>39</xdr:row>
      <xdr:rowOff>15240</xdr:rowOff>
    </xdr:to>
    <xdr:graphicFrame macro="">
      <xdr:nvGraphicFramePr>
        <xdr:cNvPr id="2121" name="Chart 16">
          <a:extLst>
            <a:ext uri="{FF2B5EF4-FFF2-40B4-BE49-F238E27FC236}">
              <a16:creationId xmlns:a16="http://schemas.microsoft.com/office/drawing/2014/main" id="{B4F6B028-C5D4-542C-A68F-6AFECD43C1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99060</xdr:colOff>
      <xdr:row>24</xdr:row>
      <xdr:rowOff>22860</xdr:rowOff>
    </xdr:from>
    <xdr:to>
      <xdr:col>3</xdr:col>
      <xdr:colOff>213360</xdr:colOff>
      <xdr:row>39</xdr:row>
      <xdr:rowOff>0</xdr:rowOff>
    </xdr:to>
    <xdr:graphicFrame macro="">
      <xdr:nvGraphicFramePr>
        <xdr:cNvPr id="2122" name="Chart 17">
          <a:extLst>
            <a:ext uri="{FF2B5EF4-FFF2-40B4-BE49-F238E27FC236}">
              <a16:creationId xmlns:a16="http://schemas.microsoft.com/office/drawing/2014/main" id="{9D8E6A91-E321-17A0-E23A-D0049ED468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E1071-4596-4DEC-96AE-28EEEEBCC8E3}">
  <dimension ref="A1:D49"/>
  <sheetViews>
    <sheetView zoomScale="85" zoomScaleNormal="85" workbookViewId="0"/>
  </sheetViews>
  <sheetFormatPr defaultColWidth="9" defaultRowHeight="13.8"/>
  <cols>
    <col min="1" max="1" width="119.33203125" style="170" customWidth="1"/>
    <col min="2" max="16384" width="9" style="170"/>
  </cols>
  <sheetData>
    <row r="1" spans="1:1" s="167" customFormat="1" ht="22.2">
      <c r="A1" s="166" t="s">
        <v>125</v>
      </c>
    </row>
    <row r="2" spans="1:1" s="167" customFormat="1" ht="22.2">
      <c r="A2" s="166"/>
    </row>
    <row r="3" spans="1:1" s="168" customFormat="1" ht="17.399999999999999">
      <c r="A3" s="171" t="s">
        <v>153</v>
      </c>
    </row>
    <row r="4" spans="1:1" ht="15" customHeight="1">
      <c r="A4" s="174" t="s">
        <v>123</v>
      </c>
    </row>
    <row r="5" spans="1:1" ht="15" customHeight="1">
      <c r="A5" s="174" t="s">
        <v>158</v>
      </c>
    </row>
    <row r="6" spans="1:1" ht="39.6">
      <c r="A6" s="175" t="s">
        <v>173</v>
      </c>
    </row>
    <row r="7" spans="1:1" ht="29.25" customHeight="1">
      <c r="A7" s="175" t="s">
        <v>176</v>
      </c>
    </row>
    <row r="8" spans="1:1" ht="30" customHeight="1">
      <c r="A8" s="176" t="s">
        <v>160</v>
      </c>
    </row>
    <row r="9" spans="1:1" s="179" customFormat="1" ht="16.5" customHeight="1">
      <c r="A9" s="178" t="s">
        <v>174</v>
      </c>
    </row>
    <row r="10" spans="1:1" ht="16.5" customHeight="1">
      <c r="A10" s="169"/>
    </row>
    <row r="11" spans="1:1" s="168" customFormat="1" ht="17.399999999999999">
      <c r="A11" s="171" t="s">
        <v>124</v>
      </c>
    </row>
    <row r="12" spans="1:1" s="172" customFormat="1" ht="15">
      <c r="A12" s="177" t="s">
        <v>96</v>
      </c>
    </row>
    <row r="13" spans="1:1" ht="39.6">
      <c r="A13" s="174" t="s">
        <v>161</v>
      </c>
    </row>
    <row r="14" spans="1:1">
      <c r="A14" s="174" t="s">
        <v>162</v>
      </c>
    </row>
    <row r="15" spans="1:1" ht="26.4">
      <c r="A15" s="175" t="s">
        <v>163</v>
      </c>
    </row>
    <row r="16" spans="1:1">
      <c r="A16" s="169"/>
    </row>
    <row r="17" spans="1:4" s="172" customFormat="1" ht="15">
      <c r="A17" s="177" t="s">
        <v>127</v>
      </c>
    </row>
    <row r="18" spans="1:4">
      <c r="A18" s="174" t="s">
        <v>128</v>
      </c>
      <c r="B18" s="169"/>
    </row>
    <row r="19" spans="1:4">
      <c r="A19" s="177" t="s">
        <v>164</v>
      </c>
    </row>
    <row r="20" spans="1:4">
      <c r="A20" s="174" t="s">
        <v>129</v>
      </c>
      <c r="B20" s="169"/>
    </row>
    <row r="21" spans="1:4" ht="26.4">
      <c r="A21" s="175" t="s">
        <v>130</v>
      </c>
    </row>
    <row r="22" spans="1:4">
      <c r="A22" s="174" t="s">
        <v>131</v>
      </c>
      <c r="B22" s="173"/>
    </row>
    <row r="23" spans="1:4">
      <c r="A23" s="174" t="s">
        <v>132</v>
      </c>
      <c r="B23" s="169"/>
    </row>
    <row r="24" spans="1:4">
      <c r="A24" s="174" t="s">
        <v>177</v>
      </c>
      <c r="B24" s="169"/>
    </row>
    <row r="25" spans="1:4">
      <c r="A25" s="174" t="s">
        <v>133</v>
      </c>
      <c r="B25" s="169"/>
      <c r="C25" s="169" t="s">
        <v>92</v>
      </c>
      <c r="D25" s="169" t="s">
        <v>92</v>
      </c>
    </row>
    <row r="26" spans="1:4">
      <c r="A26" s="174" t="s">
        <v>93</v>
      </c>
    </row>
    <row r="27" spans="1:4">
      <c r="A27" s="174" t="s">
        <v>154</v>
      </c>
      <c r="B27" s="169"/>
    </row>
    <row r="28" spans="1:4">
      <c r="A28" s="174" t="s">
        <v>155</v>
      </c>
    </row>
    <row r="29" spans="1:4">
      <c r="A29" s="174" t="s">
        <v>156</v>
      </c>
    </row>
    <row r="30" spans="1:4">
      <c r="A30" s="174" t="s">
        <v>157</v>
      </c>
      <c r="B30" s="169"/>
      <c r="C30" s="169" t="s">
        <v>92</v>
      </c>
    </row>
    <row r="31" spans="1:4">
      <c r="A31" s="177" t="s">
        <v>165</v>
      </c>
    </row>
    <row r="32" spans="1:4" ht="30" customHeight="1">
      <c r="A32" s="175" t="s">
        <v>134</v>
      </c>
    </row>
    <row r="33" spans="1:2">
      <c r="A33" s="174" t="s">
        <v>94</v>
      </c>
    </row>
    <row r="34" spans="1:2">
      <c r="A34" s="174" t="s">
        <v>135</v>
      </c>
    </row>
    <row r="35" spans="1:2">
      <c r="A35" s="174" t="s">
        <v>136</v>
      </c>
      <c r="B35" s="169"/>
    </row>
    <row r="36" spans="1:2">
      <c r="A36" s="174" t="s">
        <v>137</v>
      </c>
      <c r="B36" s="169"/>
    </row>
    <row r="37" spans="1:2">
      <c r="A37" s="177" t="s">
        <v>166</v>
      </c>
    </row>
    <row r="38" spans="1:2">
      <c r="A38" s="174" t="s">
        <v>138</v>
      </c>
    </row>
    <row r="39" spans="1:2" ht="39.6">
      <c r="A39" s="176" t="s">
        <v>159</v>
      </c>
      <c r="B39" s="169"/>
    </row>
    <row r="40" spans="1:2">
      <c r="A40" s="176"/>
      <c r="B40" s="169"/>
    </row>
    <row r="41" spans="1:2" s="172" customFormat="1" ht="15">
      <c r="A41" s="177" t="s">
        <v>139</v>
      </c>
    </row>
    <row r="42" spans="1:2">
      <c r="A42" s="174" t="s">
        <v>167</v>
      </c>
    </row>
    <row r="43" spans="1:2">
      <c r="A43" s="174" t="s">
        <v>168</v>
      </c>
    </row>
    <row r="44" spans="1:2">
      <c r="A44" s="174" t="s">
        <v>169</v>
      </c>
    </row>
    <row r="45" spans="1:2">
      <c r="A45" s="174" t="s">
        <v>170</v>
      </c>
    </row>
    <row r="46" spans="1:2">
      <c r="A46" s="174" t="s">
        <v>171</v>
      </c>
    </row>
    <row r="47" spans="1:2">
      <c r="A47" s="174" t="s">
        <v>172</v>
      </c>
    </row>
    <row r="48" spans="1:2">
      <c r="A48" s="169" t="s">
        <v>95</v>
      </c>
    </row>
    <row r="49" spans="1:1">
      <c r="A49" s="169"/>
    </row>
  </sheetData>
  <phoneticPr fontId="44"/>
  <pageMargins left="0.75" right="0.75" top="0.7" bottom="0.65" header="0.5" footer="0.5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701F0-152E-4925-BAFE-04515B687F33}">
  <dimension ref="A2:F17"/>
  <sheetViews>
    <sheetView showGridLines="0" workbookViewId="0">
      <selection activeCell="E22" sqref="E22"/>
    </sheetView>
  </sheetViews>
  <sheetFormatPr defaultColWidth="9" defaultRowHeight="13.2"/>
  <cols>
    <col min="1" max="1" width="28.109375" style="28" customWidth="1"/>
    <col min="2" max="2" width="10" style="3" customWidth="1"/>
    <col min="3" max="3" width="14.33203125" style="3" customWidth="1"/>
    <col min="4" max="4" width="8" style="3" customWidth="1"/>
    <col min="5" max="5" width="38" style="3" customWidth="1"/>
    <col min="6" max="6" width="48.109375" style="3" customWidth="1"/>
    <col min="7" max="16384" width="9" style="3"/>
  </cols>
  <sheetData>
    <row r="2" spans="1:6" s="2" customFormat="1" ht="75.75" customHeight="1">
      <c r="A2" s="1"/>
      <c r="B2" s="293" t="s">
        <v>183</v>
      </c>
      <c r="C2" s="293"/>
      <c r="D2" s="293"/>
      <c r="E2" s="293"/>
      <c r="F2" s="293"/>
    </row>
    <row r="3" spans="1:6">
      <c r="A3" s="4"/>
      <c r="B3" s="5"/>
      <c r="E3" s="6"/>
    </row>
    <row r="4" spans="1:6" ht="14.25" customHeight="1">
      <c r="A4" s="180" t="s">
        <v>0</v>
      </c>
      <c r="B4" s="294" t="str">
        <v>FJMS Authentication</v>
      </c>
      <c r="C4" s="294"/>
      <c r="D4" s="294"/>
      <c r="E4" s="180" t="s">
        <v>2</v>
      </c>
      <c r="F4" s="7" t="str">
        <v>tam0605</v>
      </c>
    </row>
    <row r="5" spans="1:6" ht="14.25" customHeight="1">
      <c r="A5" s="180" t="s">
        <v>3</v>
      </c>
      <c r="B5" s="294" t="str">
        <v>FJMS</v>
      </c>
      <c r="C5" s="294"/>
      <c r="D5" s="294"/>
      <c r="E5" s="180" t="s">
        <v>7</v>
      </c>
      <c r="F5" s="160" t="str">
        <v>07/10/2026</v>
      </c>
    </row>
    <row r="6" spans="1:6" ht="15.75" customHeight="1">
      <c r="A6" s="203" t="s">
        <v>6</v>
      </c>
      <c r="B6" s="295" t="str">
        <f>B5&amp;"_UT_v"&amp;F6</f>
        <v>FJMS_UT_v1.0</v>
      </c>
      <c r="C6" s="296"/>
      <c r="D6" s="297"/>
      <c r="E6" s="180" t="s">
        <v>9</v>
      </c>
      <c r="F6" s="161" t="str">
        <v>1.0</v>
      </c>
    </row>
    <row r="7" spans="1:6">
      <c r="A7" s="181"/>
      <c r="B7" s="8"/>
      <c r="C7" s="9"/>
      <c r="D7" s="9"/>
      <c r="E7" s="10"/>
      <c r="F7" s="11"/>
    </row>
    <row r="8" spans="1:6">
      <c r="A8" s="12"/>
      <c r="B8" s="13"/>
      <c r="C8" s="13"/>
      <c r="D8" s="13"/>
      <c r="E8" s="13"/>
    </row>
    <row r="9" spans="1:6">
      <c r="A9" s="182" t="s">
        <v>10</v>
      </c>
    </row>
    <row r="10" spans="1:6" s="14" customFormat="1">
      <c r="A10" s="15" t="s">
        <v>11</v>
      </c>
      <c r="B10" s="16" t="s">
        <v>9</v>
      </c>
      <c r="C10" s="16" t="s">
        <v>12</v>
      </c>
      <c r="D10" s="16" t="s">
        <v>13</v>
      </c>
      <c r="E10" s="16" t="s">
        <v>14</v>
      </c>
      <c r="F10" s="17" t="s">
        <v>15</v>
      </c>
    </row>
    <row r="11" spans="1:6" s="18" customFormat="1" ht="26.25" customHeight="1">
      <c r="A11" s="162" t="str">
        <v>07/10/2026</v>
      </c>
      <c r="B11" s="19" t="str">
        <v>1.0</v>
      </c>
      <c r="C11" s="20" t="str">
        <v>Unit tests</v>
      </c>
      <c r="D11" s="20" t="str">
        <v>A</v>
      </c>
      <c r="E11" s="21" t="str">
        <v>45 executed unit cases</v>
      </c>
      <c r="F11" s="163" t="str">
        <v>SWT301 slot7</v>
      </c>
    </row>
    <row r="12" spans="1:6" s="18" customFormat="1" ht="21.75" customHeight="1">
      <c r="A12" s="22"/>
      <c r="B12" s="19"/>
      <c r="C12" s="20"/>
      <c r="D12" s="20"/>
      <c r="E12" s="20"/>
      <c r="F12" s="23"/>
    </row>
    <row r="13" spans="1:6" s="18" customFormat="1" ht="19.5" customHeight="1">
      <c r="A13" s="22"/>
      <c r="B13" s="19"/>
      <c r="C13" s="20"/>
      <c r="D13" s="20"/>
      <c r="E13" s="20"/>
      <c r="F13" s="23"/>
    </row>
    <row r="14" spans="1:6" s="18" customFormat="1" ht="21.75" customHeight="1">
      <c r="A14" s="22"/>
      <c r="B14" s="19"/>
      <c r="C14" s="20"/>
      <c r="D14" s="20"/>
      <c r="E14" s="20"/>
      <c r="F14" s="23"/>
    </row>
    <row r="15" spans="1:6" s="18" customFormat="1" ht="19.5" customHeight="1">
      <c r="A15" s="22"/>
      <c r="B15" s="19"/>
      <c r="C15" s="20"/>
      <c r="D15" s="20"/>
      <c r="E15" s="20"/>
      <c r="F15" s="23"/>
    </row>
    <row r="16" spans="1:6" s="18" customFormat="1" ht="21.75" customHeight="1">
      <c r="A16" s="22"/>
      <c r="B16" s="19"/>
      <c r="C16" s="20"/>
      <c r="D16" s="20"/>
      <c r="E16" s="20"/>
      <c r="F16" s="23"/>
    </row>
    <row r="17" spans="1:6" s="18" customFormat="1" ht="19.5" customHeight="1">
      <c r="A17" s="24"/>
      <c r="B17" s="25"/>
      <c r="C17" s="26"/>
      <c r="D17" s="26"/>
      <c r="E17" s="26"/>
      <c r="F17" s="27"/>
    </row>
  </sheetData>
  <mergeCells count="4">
    <mergeCell ref="B2:F2"/>
    <mergeCell ref="B4:D4"/>
    <mergeCell ref="B5:D5"/>
    <mergeCell ref="B6:D6"/>
  </mergeCells>
  <phoneticPr fontId="0" type="noConversion"/>
  <pageMargins left="0.47013888888888888" right="0.47013888888888888" top="0.5" bottom="0.35138888888888886" header="0.51180555555555562" footer="0.1701388888888889"/>
  <pageSetup paperSize="9" firstPageNumber="0" orientation="landscape" horizontalDpi="300" verticalDpi="300"/>
  <headerFooter alignWithMargins="0">
    <oddFooter>&amp;L&amp;"Tahoma,Regular"&amp;8 02ae-BM/PM/HDCV/FSOFT v2/1&amp;C&amp;"Tahoma,Regular"&amp;8Internal use&amp;R&amp;"tahomaTahoma,Regular"&amp;8&amp;P/&amp;N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E893B-1FA3-415C-803A-A78DD7E253F5}">
  <dimension ref="A2:H23"/>
  <sheetViews>
    <sheetView zoomScaleNormal="100" workbookViewId="0">
      <selection activeCell="E3" sqref="E3"/>
    </sheetView>
  </sheetViews>
  <sheetFormatPr defaultColWidth="9" defaultRowHeight="13.2"/>
  <cols>
    <col min="1" max="1" width="7.109375" style="62" customWidth="1"/>
    <col min="2" max="2" width="14.77734375" style="62" customWidth="1"/>
    <col min="3" max="3" width="9.77734375" style="62" bestFit="1" customWidth="1"/>
    <col min="4" max="4" width="12.33203125" style="30" bestFit="1" customWidth="1"/>
    <col min="5" max="5" width="21" style="31" customWidth="1"/>
    <col min="6" max="6" width="12.33203125" style="30" customWidth="1"/>
    <col min="7" max="7" width="41.77734375" style="30" customWidth="1"/>
    <col min="8" max="8" width="51.33203125" style="30" customWidth="1"/>
    <col min="9" max="16384" width="9" style="6"/>
  </cols>
  <sheetData>
    <row r="2" spans="1:8" ht="24.6">
      <c r="A2" s="29"/>
      <c r="B2" s="29"/>
      <c r="C2" s="29"/>
      <c r="E2" s="32" t="s">
        <v>182</v>
      </c>
      <c r="F2" s="32"/>
      <c r="G2" s="33"/>
    </row>
    <row r="3" spans="1:8" ht="13.5" customHeight="1">
      <c r="A3" s="29"/>
      <c r="B3" s="29"/>
      <c r="C3" s="29"/>
      <c r="F3" s="34"/>
      <c r="G3" s="34"/>
    </row>
    <row r="4" spans="1:8" ht="14.25" customHeight="1">
      <c r="A4" s="299" t="s">
        <v>0</v>
      </c>
      <c r="B4" s="299"/>
      <c r="C4" s="299"/>
      <c r="D4" s="299"/>
      <c r="E4" s="300" t="str">
        <f>Cover!B4</f>
        <v>FJMS Authentication</v>
      </c>
      <c r="F4" s="301"/>
      <c r="G4" s="301"/>
      <c r="H4" s="302"/>
    </row>
    <row r="5" spans="1:8" ht="14.25" customHeight="1">
      <c r="A5" s="299" t="s">
        <v>3</v>
      </c>
      <c r="B5" s="299"/>
      <c r="C5" s="299"/>
      <c r="D5" s="299"/>
      <c r="E5" s="300" t="str">
        <f>Cover!B5</f>
        <v>FJMS</v>
      </c>
      <c r="F5" s="301"/>
      <c r="G5" s="301"/>
      <c r="H5" s="302"/>
    </row>
    <row r="6" spans="1:8" ht="14.25" customHeight="1">
      <c r="A6" s="306" t="s">
        <v>126</v>
      </c>
      <c r="B6" s="307"/>
      <c r="C6" s="307"/>
      <c r="D6" s="308"/>
      <c r="E6" s="200" t="str">
        <v>N/A</v>
      </c>
      <c r="F6" s="201"/>
      <c r="G6" s="201"/>
      <c r="H6" s="202"/>
    </row>
    <row r="7" spans="1:8" s="35" customFormat="1" ht="12.75" customHeight="1">
      <c r="A7" s="298" t="s">
        <v>18</v>
      </c>
      <c r="B7" s="298"/>
      <c r="C7" s="298"/>
      <c r="D7" s="298"/>
      <c r="E7" s="303" t="str">
        <v>Node.js 22; Jest 29.7; Express; mocked SQL/email; no live DB required.</v>
      </c>
      <c r="F7" s="304"/>
      <c r="G7" s="304"/>
      <c r="H7" s="305"/>
    </row>
    <row r="8" spans="1:8">
      <c r="A8" s="36"/>
      <c r="B8" s="36"/>
      <c r="C8" s="36"/>
      <c r="D8" s="37"/>
      <c r="E8" s="38"/>
      <c r="F8" s="37"/>
      <c r="G8" s="37"/>
      <c r="H8" s="37"/>
    </row>
    <row r="9" spans="1:8" s="42" customFormat="1">
      <c r="A9" s="39"/>
      <c r="B9" s="39"/>
      <c r="C9" s="39"/>
      <c r="D9" s="40"/>
      <c r="E9" s="41"/>
      <c r="F9" s="40"/>
      <c r="G9" s="40"/>
      <c r="H9" s="40"/>
    </row>
    <row r="10" spans="1:8" s="50" customFormat="1" ht="24" customHeight="1">
      <c r="A10" s="43" t="s">
        <v>20</v>
      </c>
      <c r="B10" s="44" t="s">
        <v>21</v>
      </c>
      <c r="C10" s="45" t="s">
        <v>22</v>
      </c>
      <c r="D10" s="46" t="s">
        <v>23</v>
      </c>
      <c r="E10" s="47" t="s">
        <v>151</v>
      </c>
      <c r="F10" s="46" t="s">
        <v>24</v>
      </c>
      <c r="G10" s="48" t="s">
        <v>25</v>
      </c>
      <c r="H10" s="49" t="s">
        <v>26</v>
      </c>
    </row>
    <row r="11" spans="1:8">
      <c r="A11" s="164" t="n">
        <v>1</v>
      </c>
      <c r="B11" s="51" t="str">
        <v>Authentication</v>
      </c>
      <c r="C11" s="51" t="str">
        <v>authCore.js</v>
      </c>
      <c r="D11" s="52" t="str">
        <v>register</v>
      </c>
      <c r="E11" s="53" t="str">
        <v>AUTH01</v>
      </c>
      <c r="F11" s="54" t="str">
        <v>Function 1</v>
      </c>
      <c r="G11" s="54" t="str">
        <v>15 unit cases</v>
      </c>
      <c r="H11" s="55" t="str">
        <v>Reset mocked dependencies</v>
      </c>
    </row>
    <row r="12" spans="1:8">
      <c r="A12" s="164" t="n">
        <v>2</v>
      </c>
      <c r="B12" s="51" t="str">
        <v>Authentication</v>
      </c>
      <c r="C12" s="51" t="str">
        <v>authCore.js</v>
      </c>
      <c r="D12" s="52" t="str">
        <v>verifyEmail</v>
      </c>
      <c r="E12" s="53" t="str">
        <v>AUTH02</v>
      </c>
      <c r="F12" s="54" t="str">
        <v>Function 2</v>
      </c>
      <c r="G12" s="54" t="str">
        <v>15 unit cases</v>
      </c>
      <c r="H12" s="55" t="str">
        <v>Reset mocked dependencies</v>
      </c>
    </row>
    <row r="13" spans="1:8">
      <c r="A13" s="164" t="n">
        <v>3</v>
      </c>
      <c r="B13" s="51" t="str">
        <v>Authentication</v>
      </c>
      <c r="C13" s="51" t="str">
        <v>authCore.js</v>
      </c>
      <c r="D13" s="52" t="str">
        <v>login</v>
      </c>
      <c r="E13" s="53" t="str">
        <v>AUTH03</v>
      </c>
      <c r="F13" s="54" t="str">
        <v>Function3</v>
      </c>
      <c r="G13" s="54" t="str">
        <v>15 unit cases</v>
      </c>
      <c r="H13" s="55" t="str">
        <v>Reset mocked dependencies</v>
      </c>
    </row>
    <row r="14" spans="1:8">
      <c r="A14" s="164"/>
      <c r="B14" s="51"/>
      <c r="C14" s="51"/>
      <c r="D14" s="52"/>
      <c r="E14" s="53"/>
      <c r="F14" s="54"/>
      <c r="G14" s="54"/>
      <c r="H14" s="55"/>
    </row>
    <row r="15" spans="1:8">
      <c r="A15" s="164"/>
      <c r="B15" s="51"/>
      <c r="C15" s="51"/>
      <c r="D15" s="52"/>
      <c r="E15" s="53"/>
      <c r="F15" s="54"/>
      <c r="G15" s="54"/>
      <c r="H15" s="55"/>
    </row>
    <row r="16" spans="1:8">
      <c r="A16" s="164"/>
      <c r="B16" s="51"/>
      <c r="C16" s="51"/>
      <c r="D16" s="52"/>
      <c r="E16" s="53"/>
      <c r="F16" s="56"/>
      <c r="G16" s="56"/>
      <c r="H16" s="55"/>
    </row>
    <row r="17" spans="1:8">
      <c r="A17" s="164"/>
      <c r="B17" s="51"/>
      <c r="C17" s="51"/>
      <c r="D17" s="52"/>
      <c r="E17" s="53"/>
      <c r="F17" s="56"/>
      <c r="G17" s="56"/>
      <c r="H17" s="55"/>
    </row>
    <row r="18" spans="1:8">
      <c r="A18" s="164"/>
      <c r="B18" s="51"/>
      <c r="C18" s="51"/>
      <c r="D18" s="52"/>
      <c r="E18" s="53"/>
      <c r="F18" s="56"/>
      <c r="G18" s="56"/>
      <c r="H18" s="55"/>
    </row>
    <row r="19" spans="1:8">
      <c r="A19" s="164"/>
      <c r="B19" s="51"/>
      <c r="C19" s="51"/>
      <c r="D19" s="52"/>
      <c r="E19" s="53"/>
      <c r="F19" s="56"/>
      <c r="G19" s="56"/>
      <c r="H19" s="55"/>
    </row>
    <row r="20" spans="1:8">
      <c r="A20" s="164"/>
      <c r="B20" s="51"/>
      <c r="C20" s="51"/>
      <c r="D20" s="52"/>
      <c r="E20" s="53"/>
      <c r="F20" s="56"/>
      <c r="G20" s="56"/>
      <c r="H20" s="55"/>
    </row>
    <row r="21" spans="1:8">
      <c r="A21" s="164"/>
      <c r="B21" s="51"/>
      <c r="C21" s="51"/>
      <c r="D21" s="52"/>
      <c r="E21" s="53"/>
      <c r="F21" s="56"/>
      <c r="G21" s="56"/>
      <c r="H21" s="55"/>
    </row>
    <row r="22" spans="1:8">
      <c r="A22" s="164"/>
      <c r="B22" s="51"/>
      <c r="C22" s="51"/>
      <c r="D22" s="52"/>
      <c r="E22" s="53"/>
      <c r="F22" s="56"/>
      <c r="G22" s="56"/>
      <c r="H22" s="55"/>
    </row>
    <row r="23" spans="1:8">
      <c r="A23" s="165"/>
      <c r="B23" s="57"/>
      <c r="C23" s="57"/>
      <c r="D23" s="58"/>
      <c r="E23" s="59"/>
      <c r="F23" s="60"/>
      <c r="G23" s="60"/>
      <c r="H23" s="61"/>
    </row>
  </sheetData>
  <mergeCells count="7">
    <mergeCell ref="A7:D7"/>
    <mergeCell ref="A4:D4"/>
    <mergeCell ref="A5:D5"/>
    <mergeCell ref="E4:H4"/>
    <mergeCell ref="E5:H5"/>
    <mergeCell ref="E7:H7"/>
    <mergeCell ref="A6:D6"/>
  </mergeCells>
  <phoneticPr fontId="0" type="noConversion"/>
  <hyperlinks>
    <hyperlink ref="F11" location="'Function 1'!A1" display="Function1" xr:uid="{5BEEED04-E582-49FE-B283-83315647057C}"/>
    <hyperlink ref="F12" location="'Function 2'!A1" display="Function2" xr:uid="{0D46567A-4C55-4A95-B0DF-BD2BB8F282F8}"/>
    <hyperlink ref="F13" location="'Function3'!A1" display="Function3" xr:uid="{46C00E05-D69F-46D6-A86E-074263041F5F}"/>
  </hyperlinks>
  <pageMargins left="0.65" right="0.65" top="0.75" bottom="0.75" header="0.5" footer="0.5"/>
  <pageSetup paperSize="9" firstPageNumber="0" orientation="landscape" horizontalDpi="300" verticalDpi="300"/>
  <headerFooter alignWithMargins="0">
    <oddFooter>&amp;L&amp;"Tahoma,Regular"&amp;8 02ae-BM/PM/HDCV/FSOFT v2/1&amp;C&amp;"Tahoma,Regular"&amp;8Internal use&amp;R&amp;"Tahoma,Regular"&amp;8&amp;P/&amp;N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FC506-4AF8-4CCE-8265-D1E944B5B3DF}">
  <dimension ref="A2:I23"/>
  <sheetViews>
    <sheetView tabSelected="1" workbookViewId="0">
      <selection activeCell="G42" sqref="G42"/>
    </sheetView>
  </sheetViews>
  <sheetFormatPr defaultColWidth="9" defaultRowHeight="13.2"/>
  <cols>
    <col min="1" max="1" width="15.33203125" style="6" customWidth="1"/>
    <col min="2" max="2" width="26.6640625" style="6" customWidth="1"/>
    <col min="3" max="3" width="12.109375" style="6" customWidth="1"/>
    <col min="4" max="4" width="9.6640625" style="6" customWidth="1"/>
    <col min="5" max="5" width="9.77734375" style="6" customWidth="1"/>
    <col min="6" max="8" width="5.109375" style="6" customWidth="1"/>
    <col min="9" max="9" width="21" style="6" customWidth="1"/>
    <col min="10" max="10" width="33.109375" style="6" customWidth="1"/>
    <col min="11" max="16384" width="9" style="6"/>
  </cols>
  <sheetData>
    <row r="2" spans="1:9" ht="25.5" customHeight="1">
      <c r="A2" s="309" t="s">
        <v>31</v>
      </c>
      <c r="B2" s="309"/>
      <c r="C2" s="309"/>
      <c r="D2" s="309"/>
      <c r="E2" s="309"/>
      <c r="F2" s="309"/>
      <c r="G2" s="309"/>
      <c r="H2" s="309"/>
      <c r="I2" s="309"/>
    </row>
    <row r="3" spans="1:9" ht="14.25" customHeight="1">
      <c r="A3" s="63"/>
      <c r="B3" s="64"/>
      <c r="C3" s="64"/>
      <c r="D3" s="64"/>
      <c r="E3" s="64"/>
      <c r="F3" s="64"/>
      <c r="G3" s="64"/>
      <c r="H3" s="64"/>
      <c r="I3" s="65"/>
    </row>
    <row r="4" spans="1:9" ht="13.5" customHeight="1">
      <c r="A4" s="199" t="s">
        <v>0</v>
      </c>
      <c r="B4" s="310" t="str">
        <f>Cover!B4</f>
        <v>FJMS Authentication</v>
      </c>
      <c r="C4" s="310"/>
      <c r="D4" s="311" t="s">
        <v>2</v>
      </c>
      <c r="E4" s="311"/>
      <c r="F4" s="312" t="str">
        <v>tam0605</v>
      </c>
      <c r="G4" s="313"/>
      <c r="H4" s="313"/>
      <c r="I4" s="314"/>
    </row>
    <row r="5" spans="1:9" ht="13.5" customHeight="1">
      <c r="A5" s="199" t="s">
        <v>3</v>
      </c>
      <c r="B5" s="310" t="str">
        <f>Cover!B5</f>
        <v>FJMS</v>
      </c>
      <c r="C5" s="310"/>
      <c r="D5" s="311" t="s">
        <v>5</v>
      </c>
      <c r="E5" s="311"/>
      <c r="F5" s="312" t="str">
        <v>Not yet approved</v>
      </c>
      <c r="G5" s="313"/>
      <c r="H5" s="313"/>
      <c r="I5" s="314"/>
    </row>
    <row r="6" spans="1:9" ht="12.75" customHeight="1">
      <c r="A6" s="203" t="s">
        <v>6</v>
      </c>
      <c r="B6" s="310" t="str">
        <f>Cover!B6</f>
        <v>FJMS_UT_v1.0</v>
      </c>
      <c r="C6" s="310"/>
      <c r="D6" s="311" t="s">
        <v>7</v>
      </c>
      <c r="E6" s="311"/>
      <c r="F6" s="315" t="str">
        <v>07/10/2026</v>
      </c>
      <c r="G6" s="316"/>
      <c r="H6" s="316"/>
      <c r="I6" s="317"/>
    </row>
    <row r="7" spans="1:9" ht="15.75" customHeight="1">
      <c r="A7" s="203" t="s">
        <v>32</v>
      </c>
      <c r="B7" s="318" t="str">
        <v>45 unit cases. Integration: 3 in docs/Test-plan.md. Code coverage: tests/coverage/index.html.</v>
      </c>
      <c r="C7" s="318"/>
      <c r="D7" s="318"/>
      <c r="E7" s="318"/>
      <c r="F7" s="318"/>
      <c r="G7" s="318"/>
      <c r="H7" s="318"/>
      <c r="I7" s="318"/>
    </row>
    <row r="8" spans="1:9" ht="14.25" customHeight="1">
      <c r="A8" s="66"/>
      <c r="B8" s="67"/>
      <c r="C8" s="64"/>
      <c r="D8" s="64"/>
      <c r="E8" s="64"/>
      <c r="F8" s="64"/>
      <c r="G8" s="64"/>
      <c r="H8" s="64"/>
      <c r="I8" s="65"/>
    </row>
    <row r="9" spans="1:9">
      <c r="A9" s="66"/>
      <c r="B9" s="67"/>
      <c r="C9" s="64"/>
      <c r="D9" s="64"/>
      <c r="E9" s="64"/>
      <c r="F9" s="64"/>
      <c r="G9" s="64"/>
      <c r="H9" s="64"/>
      <c r="I9" s="65"/>
    </row>
    <row r="10" spans="1:9">
      <c r="A10" s="68"/>
      <c r="B10" s="68"/>
      <c r="C10" s="68"/>
      <c r="D10" s="68"/>
      <c r="E10" s="68"/>
      <c r="F10" s="68"/>
      <c r="G10" s="68"/>
      <c r="H10" s="68"/>
      <c r="I10" s="68"/>
    </row>
    <row r="11" spans="1:9" ht="14.25" customHeight="1">
      <c r="A11" s="69" t="s">
        <v>20</v>
      </c>
      <c r="B11" s="70" t="s">
        <v>175</v>
      </c>
      <c r="C11" s="71" t="s">
        <v>34</v>
      </c>
      <c r="D11" s="70" t="s">
        <v>35</v>
      </c>
      <c r="E11" s="72" t="s">
        <v>36</v>
      </c>
      <c r="F11" s="72" t="s">
        <v>70</v>
      </c>
      <c r="G11" s="72" t="s">
        <v>72</v>
      </c>
      <c r="H11" s="72" t="s">
        <v>71</v>
      </c>
      <c r="I11" s="73" t="s">
        <v>37</v>
      </c>
    </row>
    <row r="12" spans="1:9">
      <c r="A12" s="74">
        <v>1</v>
      </c>
      <c r="B12" s="185" t="str">
        <v>AUTH01</v>
      </c>
      <c r="C12" s="75">
        <f>'Function 1'!A7</f>
        <v>15</v>
      </c>
      <c r="D12" s="75">
        <f>'Function 1'!C7</f>
        <v>0</v>
      </c>
      <c r="E12" s="75">
        <f>'Function 1'!F7</f>
        <v>0</v>
      </c>
      <c r="F12" s="76">
        <f>'Function 1'!L7</f>
        <v>1</v>
      </c>
      <c r="G12" s="75">
        <f>'Function 1'!M7</f>
        <v>12</v>
      </c>
      <c r="H12" s="75">
        <f>'Function 1'!N7</f>
        <v>2</v>
      </c>
      <c r="I12" s="75">
        <f>'Function 1'!O7</f>
        <v>15</v>
      </c>
    </row>
    <row r="13" spans="1:9">
      <c r="A13" s="74">
        <v>2</v>
      </c>
      <c r="B13" s="185" t="str">
        <v>AUTH02</v>
      </c>
      <c r="C13" s="75">
        <f>'Function 2'!A7</f>
        <v>15</v>
      </c>
      <c r="D13" s="75">
        <f>'Function 2'!C7</f>
        <v>0</v>
      </c>
      <c r="E13" s="75">
        <f>'Function 2'!F7</f>
        <v>0</v>
      </c>
      <c r="F13" s="76">
        <f>'Function 2'!L7</f>
        <v>3</v>
      </c>
      <c r="G13" s="75">
        <f>'Function 2'!M7</f>
        <v>9</v>
      </c>
      <c r="H13" s="75">
        <f>'Function 2'!N7</f>
        <v>3</v>
      </c>
      <c r="I13" s="75">
        <f>'Function 2'!O7</f>
        <v>15</v>
      </c>
    </row>
    <row r="14" spans="1:9">
      <c r="A14" s="74">
        <v>3</v>
      </c>
      <c r="B14" s="185" t="str">
        <v>AUTH03</v>
      </c>
      <c r="C14" s="75">
        <f>Function3!A7</f>
        <v>15</v>
      </c>
      <c r="D14" s="75">
        <f>Function3!C7</f>
        <v>0</v>
      </c>
      <c r="E14" s="75">
        <f>Function3!F7</f>
        <v>0</v>
      </c>
      <c r="F14" s="76">
        <f>Function3!L7</f>
        <v>4</v>
      </c>
      <c r="G14" s="75">
        <f>Function3!M7</f>
        <v>11</v>
      </c>
      <c r="H14" s="75">
        <f>Function3!N7</f>
        <v>0</v>
      </c>
      <c r="I14" s="75">
        <f>Function3!O7</f>
        <v>15</v>
      </c>
    </row>
    <row r="15" spans="1:9" ht="13.8">
      <c r="A15" s="74"/>
      <c r="B15" s="183"/>
      <c r="C15" s="75"/>
      <c r="D15" s="75"/>
      <c r="E15" s="75"/>
      <c r="F15" s="76"/>
      <c r="G15" s="75"/>
      <c r="H15" s="75"/>
      <c r="I15" s="75"/>
    </row>
    <row r="16" spans="1:9" ht="13.8">
      <c r="A16" s="74"/>
      <c r="B16" s="183"/>
      <c r="C16" s="75"/>
      <c r="D16" s="75"/>
      <c r="E16" s="75"/>
      <c r="F16" s="76"/>
      <c r="G16" s="75"/>
      <c r="H16" s="75"/>
      <c r="I16" s="75"/>
    </row>
    <row r="17" spans="1:9" ht="13.8">
      <c r="A17" s="77"/>
      <c r="B17" s="184" t="s">
        <v>38</v>
      </c>
      <c r="C17" s="78">
        <f t="shared" ref="C17:I17" si="0">SUM(C10:C16)</f>
        <v>45</v>
      </c>
      <c r="D17" s="78">
        <f t="shared" si="0"/>
        <v>0</v>
      </c>
      <c r="E17" s="78">
        <f t="shared" si="0"/>
        <v>0</v>
      </c>
      <c r="F17" s="78">
        <f t="shared" si="0"/>
        <v>8</v>
      </c>
      <c r="G17" s="78">
        <f t="shared" si="0"/>
        <v>32</v>
      </c>
      <c r="H17" s="78">
        <f t="shared" si="0"/>
        <v>5</v>
      </c>
      <c r="I17" s="78">
        <f t="shared" si="0"/>
        <v>45</v>
      </c>
    </row>
    <row r="18" spans="1:9">
      <c r="A18" s="79"/>
      <c r="B18" s="68"/>
      <c r="C18" s="80"/>
      <c r="D18" s="81"/>
      <c r="E18" s="81"/>
      <c r="F18" s="81"/>
      <c r="G18" s="81"/>
      <c r="H18" s="81"/>
      <c r="I18" s="81"/>
    </row>
    <row r="19" spans="1:9">
      <c r="A19" s="68"/>
      <c r="B19" s="204" t="s">
        <v>39</v>
      </c>
      <c r="C19" s="68"/>
      <c r="D19" s="205">
        <f>(C17+D17)*100/(I17)</f>
        <v>100</v>
      </c>
      <c r="E19" s="68" t="s">
        <v>40</v>
      </c>
      <c r="F19" s="68"/>
      <c r="G19" s="68"/>
      <c r="H19" s="68"/>
      <c r="I19" s="82"/>
    </row>
    <row r="20" spans="1:9">
      <c r="A20" s="68"/>
      <c r="B20" s="204" t="s">
        <v>41</v>
      </c>
      <c r="C20" s="68"/>
      <c r="D20" s="205">
        <f>C17*100/(I17)</f>
        <v>100</v>
      </c>
      <c r="E20" s="68" t="s">
        <v>40</v>
      </c>
      <c r="F20" s="68"/>
      <c r="G20" s="68"/>
      <c r="H20" s="68"/>
      <c r="I20" s="82"/>
    </row>
    <row r="21" spans="1:9">
      <c r="B21" s="204" t="s">
        <v>42</v>
      </c>
      <c r="C21" s="68"/>
      <c r="D21" s="205">
        <f>F17*100/I17</f>
        <v>17.777777777777779</v>
      </c>
      <c r="E21" s="68" t="s">
        <v>40</v>
      </c>
    </row>
    <row r="22" spans="1:9">
      <c r="B22" s="204" t="s">
        <v>43</v>
      </c>
      <c r="D22" s="205">
        <f>G17*100/I17</f>
        <v>71.111111111111114</v>
      </c>
      <c r="E22" s="68" t="s">
        <v>40</v>
      </c>
    </row>
    <row r="23" spans="1:9">
      <c r="B23" s="204" t="s">
        <v>44</v>
      </c>
      <c r="D23" s="205">
        <f>H17*100/I17</f>
        <v>11.111111111111111</v>
      </c>
      <c r="E23" s="68" t="s">
        <v>40</v>
      </c>
    </row>
  </sheetData>
  <mergeCells count="11">
    <mergeCell ref="F6:I6"/>
    <mergeCell ref="B6:C6"/>
    <mergeCell ref="D6:E6"/>
    <mergeCell ref="B7:I7"/>
    <mergeCell ref="A2:I2"/>
    <mergeCell ref="B4:C4"/>
    <mergeCell ref="D4:E4"/>
    <mergeCell ref="B5:C5"/>
    <mergeCell ref="D5:E5"/>
    <mergeCell ref="F4:I4"/>
    <mergeCell ref="F5:I5"/>
  </mergeCells>
  <phoneticPr fontId="0" type="noConversion"/>
  <hyperlinks>
    <hyperlink ref="B12" location="Function1!A1" display="Function1" xr:uid="{5D647199-77AF-43D7-871B-2CB37E4C2F4F}"/>
    <hyperlink ref="B13" location="Function2!A1" display="Function2" xr:uid="{6193D67D-F1DA-4E65-8A9C-947E7226AA8E}"/>
    <hyperlink ref="B14" location="Function2!A1" display="Function2" xr:uid="{36F5FBED-A189-4FE9-B457-3757EA853878}"/>
  </hyperlinks>
  <pageMargins left="0.65" right="0.65" top="0.75" bottom="0.75" header="0.5" footer="0.5"/>
  <pageSetup firstPageNumber="0" orientation="landscape" horizontalDpi="300" verticalDpi="300"/>
  <headerFooter alignWithMargins="0">
    <oddFooter>&amp;L&amp;"Tahoma,Regular"&amp;8 02ae-BM/PM/HDCV/FSOFT v2/1&amp;C&amp;"Tahoma,Regular"&amp;8Internal use&amp;R&amp;"Tahoma,Regular"&amp;8&amp;P/&amp;N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CA879-FB72-441D-9550-0416394F923B}">
  <dimension ref="A1:W43"/>
  <sheetViews>
    <sheetView workbookViewId="0">
      <pane ySplit="9" topLeftCell="A10" activePane="bottomLeft" state="frozen"/>
      <selection pane="bottomLeft" activeCell="A10" sqref="A10"/>
    </sheetView>
  </sheetViews>
  <sheetFormatPr defaultColWidth="9" defaultRowHeight="13.5" customHeight="1"/>
  <cols>
    <col min="1" max="1" width="8.109375" style="85" customWidth="1"/>
    <col min="2" max="2" width="13.33203125" style="89" customWidth="1"/>
    <col min="3" max="3" width="10.77734375" style="85" customWidth="1"/>
    <col min="4" max="4" width="11.33203125" style="86" customWidth="1"/>
    <col min="5" max="5" width="1.77734375" style="85" hidden="1" customWidth="1"/>
    <col min="6" max="7" width="2.77734375" style="85" bestFit="1" customWidth="1"/>
    <col min="8" max="8" width="2.77734375" style="85" customWidth="1"/>
    <col min="9" max="10" width="2.77734375" style="85" bestFit="1" customWidth="1"/>
    <col min="11" max="19" width="2.77734375" style="85" customWidth="1"/>
    <col min="20" max="20" width="2.77734375" style="85" bestFit="1" customWidth="1"/>
    <col min="21" max="21" width="2.77734375" style="85" customWidth="1"/>
    <col min="22" max="16384" width="9" style="85"/>
  </cols>
  <sheetData>
    <row r="1" spans="1:23" ht="13.5" customHeight="1" thickBot="1">
      <c r="A1" s="83"/>
      <c r="B1" s="84"/>
    </row>
    <row r="2" spans="1:23" ht="13.5" customHeight="1">
      <c r="A2" s="319" t="s">
        <v>104</v>
      </c>
      <c r="B2" s="320"/>
      <c r="C2" s="321" t="str">
        <f>Functions!E11</f>
        <v>AUTH01</v>
      </c>
      <c r="D2" s="322"/>
      <c r="E2" s="323"/>
      <c r="F2" s="324" t="s">
        <v>23</v>
      </c>
      <c r="G2" s="325"/>
      <c r="H2" s="325"/>
      <c r="I2" s="325"/>
      <c r="J2" s="325"/>
      <c r="K2" s="325"/>
      <c r="L2" s="352" t="str">
        <f>Functions!D11</f>
        <v>register</v>
      </c>
      <c r="M2" s="353"/>
      <c r="N2" s="353"/>
      <c r="O2" s="353"/>
      <c r="P2" s="353"/>
      <c r="Q2" s="353"/>
      <c r="R2" s="353"/>
      <c r="S2" s="353"/>
      <c r="T2" s="354"/>
      <c r="V2" s="87"/>
    </row>
    <row r="3" spans="1:23" ht="13.5" customHeight="1">
      <c r="A3" s="332" t="s">
        <v>105</v>
      </c>
      <c r="B3" s="333"/>
      <c r="C3" s="339" t="str">
        <v>tam0605</v>
      </c>
      <c r="D3" s="340"/>
      <c r="E3" s="341"/>
      <c r="F3" s="357" t="s">
        <v>106</v>
      </c>
      <c r="G3" s="358"/>
      <c r="H3" s="358"/>
      <c r="I3" s="358"/>
      <c r="J3" s="358"/>
      <c r="K3" s="359"/>
      <c r="L3" s="340" t="str">
        <v>tam0605</v>
      </c>
      <c r="M3" s="340"/>
      <c r="N3" s="340"/>
      <c r="O3" s="192"/>
      <c r="P3" s="192"/>
      <c r="Q3" s="192"/>
      <c r="R3" s="192"/>
      <c r="S3" s="192"/>
      <c r="T3" s="193"/>
    </row>
    <row r="4" spans="1:23" ht="13.5" customHeight="1">
      <c r="A4" s="332" t="s">
        <v>107</v>
      </c>
      <c r="B4" s="333"/>
      <c r="C4" s="334" t="n">
        <v>89</v>
      </c>
      <c r="D4" s="335"/>
      <c r="E4" s="206"/>
      <c r="F4" s="357" t="s">
        <v>108</v>
      </c>
      <c r="G4" s="358"/>
      <c r="H4" s="358"/>
      <c r="I4" s="358"/>
      <c r="J4" s="358"/>
      <c r="K4" s="359"/>
      <c r="L4" s="360" t="str">
        <f xml:space="preserve"> IF(Functions!E6&lt;&gt;"N/A",SUM(C4*Functions!E6/1000,- O7),"N/A")</f>
        <v>N/A</v>
      </c>
      <c r="M4" s="361"/>
      <c r="N4" s="361"/>
      <c r="O4" s="361"/>
      <c r="P4" s="361"/>
      <c r="Q4" s="361"/>
      <c r="R4" s="361"/>
      <c r="S4" s="361"/>
      <c r="T4" s="362"/>
      <c r="V4" s="87"/>
    </row>
    <row r="5" spans="1:23" ht="13.5" customHeight="1">
      <c r="A5" s="332" t="s">
        <v>109</v>
      </c>
      <c r="B5" s="333"/>
      <c r="C5" s="345" t="str">
        <v>HTTP: 1=200,2=201,3=400,4=401,5=403,6=404,7=500; docs/Test-plan.md</v>
      </c>
      <c r="D5" s="345"/>
      <c r="E5" s="345"/>
      <c r="F5" s="346"/>
      <c r="G5" s="346"/>
      <c r="H5" s="346"/>
      <c r="I5" s="346"/>
      <c r="J5" s="346"/>
      <c r="K5" s="346"/>
      <c r="L5" s="345"/>
      <c r="M5" s="345"/>
      <c r="N5" s="345"/>
      <c r="O5" s="345"/>
      <c r="P5" s="345"/>
      <c r="Q5" s="345"/>
      <c r="R5" s="345"/>
      <c r="S5" s="345"/>
      <c r="T5" s="345"/>
    </row>
    <row r="6" spans="1:23" ht="13.5" customHeight="1">
      <c r="A6" s="343" t="s">
        <v>34</v>
      </c>
      <c r="B6" s="344"/>
      <c r="C6" s="355" t="s">
        <v>35</v>
      </c>
      <c r="D6" s="347"/>
      <c r="E6" s="356"/>
      <c r="F6" s="355" t="s">
        <v>36</v>
      </c>
      <c r="G6" s="347"/>
      <c r="H6" s="347"/>
      <c r="I6" s="347"/>
      <c r="J6" s="347"/>
      <c r="K6" s="363"/>
      <c r="L6" s="347" t="s">
        <v>110</v>
      </c>
      <c r="M6" s="347"/>
      <c r="N6" s="347"/>
      <c r="O6" s="350" t="s">
        <v>37</v>
      </c>
      <c r="P6" s="347"/>
      <c r="Q6" s="347"/>
      <c r="R6" s="347"/>
      <c r="S6" s="347"/>
      <c r="T6" s="351"/>
      <c r="V6" s="87"/>
    </row>
    <row r="7" spans="1:23" ht="13.5" customHeight="1" thickBot="1">
      <c r="A7" s="331">
        <f>COUNTIF(F40:HQ40,"P")</f>
        <v>15</v>
      </c>
      <c r="B7" s="330"/>
      <c r="C7" s="327">
        <f>COUNTIF(F40:HQ40,"F")</f>
        <v>0</v>
      </c>
      <c r="D7" s="328"/>
      <c r="E7" s="330"/>
      <c r="F7" s="327">
        <f>SUM(O7,- A7,- C7)</f>
        <v>0</v>
      </c>
      <c r="G7" s="328"/>
      <c r="H7" s="328"/>
      <c r="I7" s="328"/>
      <c r="J7" s="328"/>
      <c r="K7" s="329"/>
      <c r="L7" s="194">
        <f>COUNTIF(E39:HQ39,"N")</f>
        <v>1</v>
      </c>
      <c r="M7" s="194">
        <f>COUNTIF(E39:HQ39,"A")</f>
        <v>12</v>
      </c>
      <c r="N7" s="194">
        <f>COUNTIF(E39:HQ39,"B")</f>
        <v>2</v>
      </c>
      <c r="O7" s="348">
        <f>COUNTA(E9:HT9)</f>
        <v>15</v>
      </c>
      <c r="P7" s="328"/>
      <c r="Q7" s="328"/>
      <c r="R7" s="328"/>
      <c r="S7" s="328"/>
      <c r="T7" s="349"/>
      <c r="U7" s="88"/>
    </row>
    <row r="8" spans="1:23" ht="10.8" thickBot="1"/>
    <row r="9" spans="1:23" ht="46.5" customHeight="1" thickTop="1" thickBot="1">
      <c r="A9" s="254"/>
      <c r="B9" s="255"/>
      <c r="C9" s="256"/>
      <c r="D9" s="257"/>
      <c r="E9" s="256"/>
      <c r="F9" s="258" t="str">
        <v>R01</v>
      </c>
      <c r="G9" s="258" t="str">
        <v>R02</v>
      </c>
      <c r="H9" s="258" t="str">
        <v>R03</v>
      </c>
      <c r="I9" s="258" t="str">
        <v>R04</v>
      </c>
      <c r="J9" s="258" t="str">
        <v>R05</v>
      </c>
      <c r="K9" s="258" t="str">
        <v>R06</v>
      </c>
      <c r="L9" s="258" t="str">
        <v>R07</v>
      </c>
      <c r="M9" s="258" t="str">
        <v>R08</v>
      </c>
      <c r="N9" s="258" t="str">
        <v>R09</v>
      </c>
      <c r="O9" s="258" t="str">
        <v>R10</v>
      </c>
      <c r="P9" s="258" t="str">
        <v>R11</v>
      </c>
      <c r="Q9" s="258" t="str">
        <v>R12</v>
      </c>
      <c r="R9" s="258" t="str">
        <v>R13</v>
      </c>
      <c r="S9" s="258" t="str">
        <v>R14</v>
      </c>
      <c r="T9" s="259" t="str">
        <v>R15</v>
      </c>
      <c r="U9" s="90"/>
      <c r="V9" s="91"/>
      <c r="W9" s="92"/>
    </row>
    <row r="10" spans="1:23" ht="13.5" customHeight="1">
      <c r="A10" s="235" t="s">
        <v>111</v>
      </c>
      <c r="B10" s="236" t="s">
        <v>112</v>
      </c>
      <c r="C10" s="237"/>
      <c r="D10" s="238"/>
      <c r="E10" s="98"/>
      <c r="F10" s="189"/>
      <c r="G10" s="189"/>
      <c r="H10" s="189"/>
      <c r="I10" s="189"/>
      <c r="J10" s="189"/>
      <c r="K10" s="189"/>
      <c r="L10" s="189"/>
      <c r="M10" s="189"/>
      <c r="N10" s="189"/>
      <c r="O10" s="189"/>
      <c r="P10" s="189"/>
      <c r="Q10" s="189"/>
      <c r="R10" s="189"/>
      <c r="S10" s="189"/>
      <c r="T10" s="223"/>
    </row>
    <row r="11" spans="1:23" ht="13.5" customHeight="1">
      <c r="A11" s="221"/>
      <c r="B11" s="93"/>
      <c r="C11" s="94"/>
      <c r="D11" s="95" t="str">
        <v>SQL/email mocked</v>
      </c>
      <c r="E11" s="98"/>
      <c r="F11" s="186"/>
      <c r="G11" s="186"/>
      <c r="H11" s="186"/>
      <c r="I11" s="186"/>
      <c r="J11" s="186"/>
      <c r="K11" s="186"/>
      <c r="L11" s="186"/>
      <c r="M11" s="186"/>
      <c r="N11" s="186"/>
      <c r="O11" s="186"/>
      <c r="P11" s="186"/>
      <c r="Q11" s="186"/>
      <c r="R11" s="186"/>
      <c r="S11" s="186"/>
      <c r="T11" s="220"/>
      <c r="V11" s="87"/>
    </row>
    <row r="12" spans="1:23" ht="13.5" customHeight="1">
      <c r="A12" s="221"/>
      <c r="B12" s="93"/>
      <c r="C12" s="94"/>
      <c r="D12" s="95" t="str">
        <v>test@example.com</v>
      </c>
      <c r="E12" s="98"/>
      <c r="F12" s="186"/>
      <c r="G12" s="186"/>
      <c r="H12" s="186"/>
      <c r="I12" s="186"/>
      <c r="J12" s="186"/>
      <c r="K12" s="186"/>
      <c r="L12" s="186"/>
      <c r="M12" s="186"/>
      <c r="N12" s="186"/>
      <c r="O12" s="186"/>
      <c r="P12" s="186"/>
      <c r="Q12" s="186"/>
      <c r="R12" s="186"/>
      <c r="S12" s="186"/>
      <c r="T12" s="220"/>
    </row>
    <row r="13" spans="1:23" ht="13.5" customHeight="1">
      <c r="A13" s="221"/>
      <c r="B13" s="93"/>
      <c r="C13" s="94"/>
      <c r="D13" s="95" t="str">
        <v>Aa12345!</v>
      </c>
      <c r="E13" s="99"/>
      <c r="F13" s="186"/>
      <c r="G13" s="186"/>
      <c r="H13" s="186"/>
      <c r="I13" s="186"/>
      <c r="J13" s="186"/>
      <c r="K13" s="186"/>
      <c r="L13" s="186"/>
      <c r="M13" s="186"/>
      <c r="N13" s="186"/>
      <c r="O13" s="186"/>
      <c r="P13" s="186"/>
      <c r="Q13" s="186"/>
      <c r="R13" s="186"/>
      <c r="S13" s="186"/>
      <c r="T13" s="220"/>
    </row>
    <row r="14" spans="1:23" ht="13.5" customHeight="1">
      <c r="A14" s="221"/>
      <c r="B14" s="93" t="str">
        <v>Input / state</v>
      </c>
      <c r="C14" s="94"/>
      <c r="D14" s="95"/>
      <c r="E14" s="100"/>
      <c r="F14" s="186"/>
      <c r="G14" s="186"/>
      <c r="H14" s="186"/>
      <c r="I14" s="186"/>
      <c r="J14" s="186"/>
      <c r="K14" s="186"/>
      <c r="L14" s="186"/>
      <c r="M14" s="186"/>
      <c r="N14" s="186"/>
      <c r="O14" s="186"/>
      <c r="P14" s="186"/>
      <c r="Q14" s="186"/>
      <c r="R14" s="186"/>
      <c r="S14" s="186"/>
      <c r="T14" s="220"/>
    </row>
    <row r="15" spans="1:23" ht="13.5" customHeight="1">
      <c r="A15" s="221"/>
      <c r="B15" s="93"/>
      <c r="C15" s="94"/>
      <c r="D15" s="95" t="str">
        <v>fullName=""</v>
      </c>
      <c r="E15" s="100"/>
      <c r="F15" s="186" t="str">
        <v>O</v>
      </c>
      <c r="G15" s="186"/>
      <c r="H15" s="186"/>
      <c r="I15" s="186"/>
      <c r="J15" s="186"/>
      <c r="K15" s="186"/>
      <c r="L15" s="186"/>
      <c r="M15" s="186"/>
      <c r="N15" s="186"/>
      <c r="O15" s="186"/>
      <c r="P15" s="186"/>
      <c r="Q15" s="186"/>
      <c r="R15" s="186"/>
      <c r="S15" s="186"/>
      <c r="T15" s="220"/>
      <c r="U15"/>
      <c r="V15"/>
      <c r="W15"/>
    </row>
    <row r="16" spans="1:23" ht="13.5" customHeight="1">
      <c r="A16" s="221"/>
      <c r="B16" s="93"/>
      <c r="C16" s="94"/>
      <c r="D16" s="95" t="str">
        <v>email=""</v>
      </c>
      <c r="E16" s="100"/>
      <c r="F16" s="186"/>
      <c r="G16" s="186" t="str">
        <v>O</v>
      </c>
      <c r="H16" s="186"/>
      <c r="I16" s="186"/>
      <c r="J16" s="186"/>
      <c r="K16" s="186"/>
      <c r="L16" s="186"/>
      <c r="M16" s="186"/>
      <c r="N16" s="186"/>
      <c r="O16" s="186"/>
      <c r="P16" s="186"/>
      <c r="Q16" s="186"/>
      <c r="R16" s="186"/>
      <c r="S16" s="186"/>
      <c r="T16" s="220"/>
      <c r="U16"/>
      <c r="V16"/>
      <c r="W16"/>
    </row>
    <row r="17" spans="1:21" ht="13.5" customHeight="1">
      <c r="A17" s="221"/>
      <c r="B17" s="93"/>
      <c r="C17" s="94"/>
      <c r="D17" s="95" t="str">
        <v>password=""</v>
      </c>
      <c r="E17" s="100"/>
      <c r="F17" s="186"/>
      <c r="G17" s="186"/>
      <c r="H17" s="186" t="str">
        <v>O</v>
      </c>
      <c r="I17" s="186"/>
      <c r="J17" s="186"/>
      <c r="K17" s="186"/>
      <c r="L17" s="186"/>
      <c r="M17" s="186"/>
      <c r="N17" s="186"/>
      <c r="O17" s="186"/>
      <c r="P17" s="186"/>
      <c r="Q17" s="186"/>
      <c r="R17" s="186"/>
      <c r="S17" s="186"/>
      <c r="T17" s="220"/>
      <c r="U17" s="187"/>
      <c r="V17"/>
      <c r="W17"/>
    </row>
    <row r="18" spans="1:21" ht="13.5" customHeight="1">
      <c r="A18" s="221"/>
      <c r="B18" s="93"/>
      <c r="C18" s="94"/>
      <c r="D18" s="95" t="str">
        <v>role=""</v>
      </c>
      <c r="E18" s="100"/>
      <c r="F18" s="186"/>
      <c r="G18" s="186"/>
      <c r="H18" s="186"/>
      <c r="I18" s="186" t="str">
        <v>O</v>
      </c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220"/>
      <c r="U18" s="187"/>
      <c r="V18"/>
      <c r="W18"/>
    </row>
    <row r="19" spans="1:21" ht="13.5" customHeight="1">
      <c r="A19" s="221"/>
      <c r="B19" s="93"/>
      <c r="C19" s="94"/>
      <c r="D19" s="342" t="str">
        <v>role=ADMIN</v>
      </c>
      <c r="E19" s="342"/>
      <c r="F19" s="186"/>
      <c r="G19" s="186"/>
      <c r="H19" s="186"/>
      <c r="I19" s="186"/>
      <c r="J19" s="186" t="str">
        <v>O</v>
      </c>
      <c r="K19" s="186"/>
      <c r="L19" s="186"/>
      <c r="M19" s="186"/>
      <c r="N19" s="186"/>
      <c r="O19" s="186"/>
      <c r="P19" s="186"/>
      <c r="Q19" s="186"/>
      <c r="R19" s="186"/>
      <c r="S19" s="186"/>
      <c r="T19" s="220"/>
      <c r="U19"/>
      <c r="V19"/>
      <c r="W19"/>
    </row>
    <row r="20" spans="1:21" ht="13.5" customHeight="1">
      <c r="A20" s="221"/>
      <c r="B20" s="93"/>
      <c r="C20" s="94"/>
      <c r="D20" s="95" t="str">
        <v>password=Aa1234!</v>
      </c>
      <c r="E20" s="100"/>
      <c r="F20" s="186"/>
      <c r="G20" s="186"/>
      <c r="H20" s="186"/>
      <c r="I20" s="186"/>
      <c r="J20" s="186"/>
      <c r="K20" s="186" t="str">
        <v>O</v>
      </c>
      <c r="L20" s="186"/>
      <c r="M20" s="186"/>
      <c r="N20" s="186"/>
      <c r="O20" s="186"/>
      <c r="P20" s="186"/>
      <c r="Q20" s="186"/>
      <c r="R20" s="186"/>
      <c r="S20" s="186"/>
      <c r="T20" s="220"/>
      <c r="U20"/>
      <c r="V20"/>
      <c r="W20"/>
    </row>
    <row r="21" spans="1:21" ht="13.5" customHeight="1">
      <c r="A21" s="221"/>
      <c r="B21" s="93"/>
      <c r="C21" s="94"/>
      <c r="D21" s="95" t="str">
        <v>password=aa12345!</v>
      </c>
      <c r="E21" s="100"/>
      <c r="F21" s="186"/>
      <c r="G21" s="186"/>
      <c r="H21" s="186"/>
      <c r="I21" s="186"/>
      <c r="J21" s="186"/>
      <c r="K21" s="186"/>
      <c r="L21" s="186" t="str">
        <v>O</v>
      </c>
      <c r="M21" s="186"/>
      <c r="N21" s="186"/>
      <c r="O21" s="186"/>
      <c r="P21" s="186"/>
      <c r="Q21" s="186"/>
      <c r="R21" s="186"/>
      <c r="S21" s="186"/>
      <c r="T21" s="220"/>
      <c r="U21"/>
      <c r="V21"/>
      <c r="W21"/>
    </row>
    <row r="22" spans="1:21" ht="13.5" customHeight="1">
      <c r="A22" s="221"/>
      <c r="B22" s="93"/>
      <c r="C22" s="94"/>
      <c r="D22" s="95" t="str">
        <v>password=AA12345!</v>
      </c>
      <c r="E22" s="100"/>
      <c r="F22" s="186"/>
      <c r="G22" s="186"/>
      <c r="H22" s="186"/>
      <c r="I22" s="186"/>
      <c r="J22" s="186"/>
      <c r="K22" s="186"/>
      <c r="L22" s="186"/>
      <c r="M22" s="186" t="str">
        <v>O</v>
      </c>
      <c r="N22" s="186"/>
      <c r="O22" s="186"/>
      <c r="P22" s="186"/>
      <c r="Q22" s="186"/>
      <c r="R22" s="186"/>
      <c r="S22" s="186"/>
      <c r="T22" s="220"/>
      <c r="U22"/>
      <c r="V22"/>
      <c r="W22"/>
    </row>
    <row r="23" spans="1:21" ht="13.5" customHeight="1">
      <c r="A23" s="221"/>
      <c r="B23" s="93"/>
      <c r="C23" s="94"/>
      <c r="D23" s="95" t="str">
        <v>no digit/special</v>
      </c>
      <c r="E23" s="100"/>
      <c r="F23" s="186"/>
      <c r="G23" s="186"/>
      <c r="H23" s="186"/>
      <c r="I23" s="186"/>
      <c r="J23" s="186"/>
      <c r="K23" s="186"/>
      <c r="L23" s="186"/>
      <c r="M23" s="186"/>
      <c r="N23" s="186" t="str">
        <v>O</v>
      </c>
      <c r="O23" s="186"/>
      <c r="P23" s="186"/>
      <c r="Q23" s="186"/>
      <c r="R23" s="186"/>
      <c r="S23" s="186"/>
      <c r="T23" s="220"/>
      <c r="U23"/>
      <c r="V23"/>
      <c r="W23"/>
    </row>
    <row r="24" spans="1:21" ht="13.5" customHeight="1">
      <c r="A24" s="221"/>
      <c r="B24" s="93"/>
      <c r="C24" s="94"/>
      <c r="D24" s="95" t="str">
        <v>SQL query rejects</v>
      </c>
      <c r="E24" s="100"/>
      <c r="F24" s="186"/>
      <c r="G24" s="186"/>
      <c r="H24" s="186"/>
      <c r="I24" s="186"/>
      <c r="J24" s="186"/>
      <c r="K24" s="186"/>
      <c r="L24" s="186"/>
      <c r="M24" s="186"/>
      <c r="N24" s="186"/>
      <c r="O24" s="186" t="str">
        <v>O</v>
      </c>
      <c r="P24" s="186"/>
      <c r="Q24" s="186"/>
      <c r="R24" s="186"/>
      <c r="S24" s="186"/>
      <c r="T24" s="220"/>
      <c r="U24"/>
      <c r="V24"/>
      <c r="W24"/>
    </row>
    <row r="25" spans="1:21" ht="13.5" customHeight="1">
      <c r="A25" s="221"/>
      <c r="B25" s="93"/>
      <c r="C25" s="94"/>
      <c r="D25" s="95" t="str">
        <v>email exists</v>
      </c>
      <c r="E25" s="100"/>
      <c r="F25" s="186"/>
      <c r="G25" s="186"/>
      <c r="H25" s="186"/>
      <c r="I25" s="186"/>
      <c r="J25" s="186"/>
      <c r="K25" s="186"/>
      <c r="L25" s="186"/>
      <c r="M25" s="186"/>
      <c r="N25" s="186"/>
      <c r="O25" s="186"/>
      <c r="P25" s="186" t="str">
        <v>O</v>
      </c>
      <c r="Q25" s="186"/>
      <c r="R25" s="186"/>
      <c r="S25" s="186"/>
      <c r="T25" s="220"/>
      <c r="U25"/>
      <c r="V25"/>
      <c r="W25"/>
    </row>
    <row r="26" spans="1:21" ht="13.5" customHeight="1">
      <c r="A26" s="221"/>
      <c r="B26" s="93"/>
      <c r="C26" s="94"/>
      <c r="D26" s="95" t="str">
        <v>phone=123</v>
      </c>
      <c r="E26" s="100"/>
      <c r="F26" s="186"/>
      <c r="G26" s="186"/>
      <c r="H26" s="186"/>
      <c r="I26" s="186"/>
      <c r="J26" s="186"/>
      <c r="K26" s="186"/>
      <c r="L26" s="186"/>
      <c r="M26" s="186"/>
      <c r="N26" s="186"/>
      <c r="O26" s="186"/>
      <c r="P26" s="186"/>
      <c r="Q26" s="186" t="str">
        <v>O</v>
      </c>
      <c r="R26" s="186"/>
      <c r="S26" s="186"/>
      <c r="T26" s="220"/>
      <c r="U26"/>
      <c r="V26"/>
      <c r="W26"/>
    </row>
    <row r="27" spans="1:21" ht="13.5" customHeight="1">
      <c r="A27" s="221"/>
      <c r="B27" s="93"/>
      <c r="C27" s="94"/>
      <c r="D27" s="95" t="str">
        <v>phone exists</v>
      </c>
      <c r="E27" s="100"/>
      <c r="F27" s="186"/>
      <c r="G27" s="186"/>
      <c r="H27" s="186"/>
      <c r="I27" s="186"/>
      <c r="J27" s="186"/>
      <c r="K27" s="186"/>
      <c r="L27" s="186"/>
      <c r="M27" s="186"/>
      <c r="N27" s="186"/>
      <c r="O27" s="186"/>
      <c r="P27" s="186"/>
      <c r="Q27" s="186"/>
      <c r="R27" s="186" t="str">
        <v>O</v>
      </c>
      <c r="S27" s="186"/>
      <c r="T27" s="220"/>
      <c r="U27"/>
      <c r="V27"/>
      <c r="W27"/>
    </row>
    <row r="28" spans="1:21" ht="13.5" customHeight="1">
      <c r="A28" s="221"/>
      <c r="B28" s="93"/>
      <c r="C28" s="94"/>
      <c r="D28" s="95" t="str">
        <v>role=freelancer</v>
      </c>
      <c r="E28" s="100"/>
      <c r="F28" s="186"/>
      <c r="G28" s="186"/>
      <c r="H28" s="186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 t="str">
        <v>O</v>
      </c>
      <c r="T28" s="220"/>
      <c r="U28"/>
      <c r="V28"/>
      <c r="W28"/>
    </row>
    <row r="29" spans="1:21" ht="13.5" customHeight="1">
      <c r="A29" s="221"/>
      <c r="B29" s="93"/>
      <c r="C29" s="94"/>
      <c r="D29" s="95" t="str">
        <v>role=EMPLOYER</v>
      </c>
      <c r="E29" s="100"/>
      <c r="F29" s="186"/>
      <c r="G29" s="186"/>
      <c r="H29" s="186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220" t="str">
        <v>O</v>
      </c>
      <c r="U29"/>
      <c r="V29"/>
      <c r="W29"/>
    </row>
    <row r="30" spans="1:21" ht="13.5" customHeight="1" thickBot="1">
      <c r="A30" s="221"/>
      <c r="B30" s="102"/>
      <c r="C30" s="103"/>
      <c r="D30" s="104"/>
      <c r="E30" s="105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222"/>
      <c r="U30"/>
      <c r="V30"/>
      <c r="W30"/>
    </row>
    <row r="31" spans="1:21" ht="13.5" customHeight="1" thickTop="1">
      <c r="A31" s="234" t="s">
        <v>115</v>
      </c>
      <c r="B31" s="107" t="s">
        <v>116</v>
      </c>
      <c r="C31" s="108"/>
      <c r="D31" s="109"/>
      <c r="E31" s="110"/>
      <c r="F31" s="189"/>
      <c r="G31" s="189"/>
      <c r="H31" s="189"/>
      <c r="I31" s="189"/>
      <c r="J31" s="189"/>
      <c r="K31" s="189"/>
      <c r="L31" s="189"/>
      <c r="M31" s="189"/>
      <c r="N31" s="189"/>
      <c r="O31" s="189"/>
      <c r="P31" s="189"/>
      <c r="Q31" s="189"/>
      <c r="R31" s="189"/>
      <c r="S31" s="189"/>
      <c r="T31" s="223"/>
    </row>
    <row r="32" spans="1:21" ht="13.5" customHeight="1">
      <c r="A32" s="233"/>
      <c r="B32" s="112"/>
      <c r="C32" s="113"/>
      <c r="D32" s="114" t="str">
        <v>HTTP code (C5)</v>
      </c>
      <c r="E32" s="115"/>
      <c r="F32" s="186" t="n">
        <v>3</v>
      </c>
      <c r="G32" s="186" t="n">
        <v>3</v>
      </c>
      <c r="H32" s="186" t="n">
        <v>3</v>
      </c>
      <c r="I32" s="186" t="n">
        <v>3</v>
      </c>
      <c r="J32" s="186" t="n">
        <v>3</v>
      </c>
      <c r="K32" s="186" t="n">
        <v>3</v>
      </c>
      <c r="L32" s="186" t="n">
        <v>3</v>
      </c>
      <c r="M32" s="186" t="n">
        <v>3</v>
      </c>
      <c r="N32" s="186" t="n">
        <v>3</v>
      </c>
      <c r="O32" s="186" t="n">
        <v>7</v>
      </c>
      <c r="P32" s="186" t="n">
        <v>3</v>
      </c>
      <c r="Q32" s="186" t="n">
        <v>3</v>
      </c>
      <c r="R32" s="186" t="n">
        <v>3</v>
      </c>
      <c r="S32" s="186" t="n">
        <v>2</v>
      </c>
      <c r="T32" s="220" t="n">
        <v>2</v>
      </c>
      <c r="U32"/>
      <c r="V32"/>
      <c r="W32"/>
    </row>
    <row r="33" spans="1:20" ht="13.5" customHeight="1">
      <c r="A33" s="233"/>
      <c r="B33" s="112"/>
      <c r="C33" s="190"/>
      <c r="D33" s="114" t="str">
        <v>Body checked</v>
      </c>
      <c r="E33" s="117"/>
      <c r="F33" s="186" t="str">
        <v>O</v>
      </c>
      <c r="G33" s="186" t="str">
        <v>O</v>
      </c>
      <c r="H33" s="186" t="str">
        <v>O</v>
      </c>
      <c r="I33" s="186" t="str">
        <v>O</v>
      </c>
      <c r="J33" s="186" t="str">
        <v>O</v>
      </c>
      <c r="K33" s="186" t="str">
        <v>O</v>
      </c>
      <c r="L33" s="186" t="str">
        <v>O</v>
      </c>
      <c r="M33" s="186" t="str">
        <v>O</v>
      </c>
      <c r="N33" s="186" t="str">
        <v>O</v>
      </c>
      <c r="O33" s="186" t="str">
        <v>O</v>
      </c>
      <c r="P33" s="186" t="str">
        <v>O</v>
      </c>
      <c r="Q33" s="186" t="str">
        <v>O</v>
      </c>
      <c r="R33" s="186" t="str">
        <v>O</v>
      </c>
      <c r="S33" s="186" t="str">
        <v>O</v>
      </c>
      <c r="T33" s="220" t="str">
        <v>O</v>
      </c>
      <c r="U33"/>
      <c r="V33"/>
      <c r="W33"/>
    </row>
    <row r="34" spans="1:20" ht="13.5" customHeight="1">
      <c r="A34" s="233"/>
      <c r="B34" s="112" t="s">
        <v>117</v>
      </c>
      <c r="C34" s="190"/>
      <c r="D34" s="114"/>
      <c r="E34" s="117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220"/>
    </row>
    <row r="35" spans="1:20" ht="13.5" customHeight="1">
      <c r="A35" s="233"/>
      <c r="B35" s="112"/>
      <c r="C35" s="190"/>
      <c r="D35" s="114" t="str">
        <v>None</v>
      </c>
      <c r="E35" s="117"/>
      <c r="F35" s="186" t="str">
        <v>O</v>
      </c>
      <c r="G35" s="186" t="str">
        <v>O</v>
      </c>
      <c r="H35" s="186" t="str">
        <v>O</v>
      </c>
      <c r="I35" s="186" t="str">
        <v>O</v>
      </c>
      <c r="J35" s="186" t="str">
        <v>O</v>
      </c>
      <c r="K35" s="186" t="str">
        <v>O</v>
      </c>
      <c r="L35" s="186" t="str">
        <v>O</v>
      </c>
      <c r="M35" s="186" t="str">
        <v>O</v>
      </c>
      <c r="N35" s="186" t="str">
        <v>O</v>
      </c>
      <c r="O35" s="186" t="str">
        <v>O</v>
      </c>
      <c r="P35" s="186" t="str">
        <v>O</v>
      </c>
      <c r="Q35" s="186" t="str">
        <v>O</v>
      </c>
      <c r="R35" s="186" t="str">
        <v>O</v>
      </c>
      <c r="S35" s="186" t="str">
        <v>O</v>
      </c>
      <c r="T35" s="220" t="str">
        <v>O</v>
      </c>
      <c r="U35"/>
      <c r="V35"/>
      <c r="W35"/>
    </row>
    <row r="36" spans="1:20" ht="13.5" customHeight="1">
      <c r="A36" s="233"/>
      <c r="B36" s="112" t="s">
        <v>118</v>
      </c>
      <c r="C36" s="190"/>
      <c r="D36" s="114"/>
      <c r="E36" s="117"/>
      <c r="F36" s="186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220"/>
    </row>
    <row r="37" spans="1:20" ht="13.5" customHeight="1">
      <c r="A37" s="233"/>
      <c r="B37" s="112"/>
      <c r="C37" s="190"/>
      <c r="D37" s="114" t="str">
        <v>Not asserted</v>
      </c>
      <c r="E37" s="117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220"/>
      <c r="U37"/>
      <c r="V37"/>
      <c r="W37"/>
    </row>
    <row r="38" spans="1:20" ht="13.5" customHeight="1" thickBot="1">
      <c r="A38" s="233"/>
      <c r="B38" s="207"/>
      <c r="C38" s="208"/>
      <c r="D38" s="209" t="str">
        <v>Not asserted</v>
      </c>
      <c r="E38" s="210"/>
      <c r="F38" s="211"/>
      <c r="G38" s="211"/>
      <c r="H38" s="211"/>
      <c r="I38" s="211"/>
      <c r="J38" s="211"/>
      <c r="K38" s="211"/>
      <c r="L38" s="211"/>
      <c r="M38" s="211"/>
      <c r="N38" s="211"/>
      <c r="O38" s="211"/>
      <c r="P38" s="211"/>
      <c r="Q38" s="211"/>
      <c r="R38" s="211"/>
      <c r="S38" s="211"/>
      <c r="T38" s="224"/>
      <c r="U38"/>
      <c r="V38"/>
      <c r="W38"/>
    </row>
    <row r="39" spans="1:20" ht="13.5" customHeight="1" thickTop="1">
      <c r="A39" s="234" t="s">
        <v>68</v>
      </c>
      <c r="B39" s="338" t="s">
        <v>69</v>
      </c>
      <c r="C39" s="338"/>
      <c r="D39" s="338"/>
      <c r="E39" s="212"/>
      <c r="F39" s="213" t="str">
        <v>A</v>
      </c>
      <c r="G39" s="213" t="str">
        <v>A</v>
      </c>
      <c r="H39" s="213" t="str">
        <v>A</v>
      </c>
      <c r="I39" s="213" t="str">
        <v>A</v>
      </c>
      <c r="J39" s="213" t="str">
        <v>A</v>
      </c>
      <c r="K39" s="213" t="str">
        <v>B</v>
      </c>
      <c r="L39" s="213" t="str">
        <v>A</v>
      </c>
      <c r="M39" s="213" t="str">
        <v>A</v>
      </c>
      <c r="N39" s="213" t="str">
        <v>A</v>
      </c>
      <c r="O39" s="213" t="str">
        <v>A</v>
      </c>
      <c r="P39" s="213" t="str">
        <v>A</v>
      </c>
      <c r="Q39" s="213" t="str">
        <v>A</v>
      </c>
      <c r="R39" s="213" t="str">
        <v>A</v>
      </c>
      <c r="S39" s="213" t="str">
        <v>B</v>
      </c>
      <c r="T39" s="225" t="str">
        <v>N</v>
      </c>
      <c r="U39"/>
      <c r="V39"/>
      <c r="W39"/>
    </row>
    <row r="40" spans="1:20" ht="13.5" customHeight="1">
      <c r="A40" s="233"/>
      <c r="B40" s="326" t="s">
        <v>73</v>
      </c>
      <c r="C40" s="326"/>
      <c r="D40" s="326"/>
      <c r="E40" s="119"/>
      <c r="F40" s="191" t="str">
        <v>P</v>
      </c>
      <c r="G40" s="191" t="str">
        <v>P</v>
      </c>
      <c r="H40" s="191" t="str">
        <v>P</v>
      </c>
      <c r="I40" s="191" t="str">
        <v>P</v>
      </c>
      <c r="J40" s="191" t="str">
        <v>P</v>
      </c>
      <c r="K40" s="191" t="str">
        <v>P</v>
      </c>
      <c r="L40" s="191" t="str">
        <v>P</v>
      </c>
      <c r="M40" s="191" t="str">
        <v>P</v>
      </c>
      <c r="N40" s="191" t="str">
        <v>P</v>
      </c>
      <c r="O40" s="191" t="str">
        <v>P</v>
      </c>
      <c r="P40" s="191" t="str">
        <v>P</v>
      </c>
      <c r="Q40" s="191" t="str">
        <v>P</v>
      </c>
      <c r="R40" s="191" t="str">
        <v>P</v>
      </c>
      <c r="S40" s="191" t="str">
        <v>P</v>
      </c>
      <c r="T40" s="227" t="str">
        <v>P</v>
      </c>
      <c r="U40"/>
      <c r="V40"/>
      <c r="W40"/>
    </row>
    <row r="41" spans="1:20" ht="13.5" customHeight="1">
      <c r="A41" s="233"/>
      <c r="B41" s="336" t="s">
        <v>76</v>
      </c>
      <c r="C41" s="336"/>
      <c r="D41" s="336"/>
      <c r="E41" s="120"/>
      <c r="F41" s="121" t="str">
        <v>7/10</v>
      </c>
      <c r="G41" s="121" t="str">
        <v>7/10</v>
      </c>
      <c r="H41" s="121" t="str">
        <v>7/10</v>
      </c>
      <c r="I41" s="121" t="str">
        <v>7/10</v>
      </c>
      <c r="J41" s="121" t="str">
        <v>7/10</v>
      </c>
      <c r="K41" s="121" t="str">
        <v>7/10</v>
      </c>
      <c r="L41" s="121" t="str">
        <v>7/10</v>
      </c>
      <c r="M41" s="121" t="str">
        <v>7/10</v>
      </c>
      <c r="N41" s="121" t="str">
        <v>7/10</v>
      </c>
      <c r="O41" s="121" t="str">
        <v>7/10</v>
      </c>
      <c r="P41" s="121" t="str">
        <v>7/10</v>
      </c>
      <c r="Q41" s="121" t="str">
        <v>7/10</v>
      </c>
      <c r="R41" s="121" t="str">
        <v>7/10</v>
      </c>
      <c r="S41" s="121" t="str">
        <v>7/10</v>
      </c>
      <c r="T41" s="228" t="str">
        <v>7/10</v>
      </c>
      <c r="U41"/>
      <c r="V41"/>
      <c r="W41"/>
    </row>
    <row r="42" spans="1:20" ht="73.2" thickBot="1">
      <c r="A42" s="253"/>
      <c r="B42" s="337" t="s">
        <v>77</v>
      </c>
      <c r="C42" s="337"/>
      <c r="D42" s="337"/>
      <c r="E42" s="230"/>
      <c r="F42" s="231"/>
      <c r="G42" s="231"/>
      <c r="H42" s="231"/>
      <c r="I42" s="231"/>
      <c r="J42" s="231"/>
      <c r="K42" s="231"/>
      <c r="L42" s="231"/>
      <c r="M42" s="231"/>
      <c r="N42" s="231"/>
      <c r="O42" s="231"/>
      <c r="P42" s="231"/>
      <c r="Q42" s="231"/>
      <c r="R42" s="231"/>
      <c r="S42" s="231"/>
      <c r="T42" s="232"/>
      <c r="U42"/>
      <c r="V42"/>
      <c r="W42"/>
    </row>
    <row r="43" spans="1:20" ht="10.8" thickTop="1">
      <c r="A43" s="214"/>
    </row>
  </sheetData>
  <mergeCells count="28">
    <mergeCell ref="O6:T6"/>
    <mergeCell ref="L2:T2"/>
    <mergeCell ref="L3:N3"/>
    <mergeCell ref="C6:E6"/>
    <mergeCell ref="F3:K3"/>
    <mergeCell ref="L4:T4"/>
    <mergeCell ref="F6:K6"/>
    <mergeCell ref="F4:K4"/>
    <mergeCell ref="B41:D41"/>
    <mergeCell ref="B42:D42"/>
    <mergeCell ref="B39:D39"/>
    <mergeCell ref="C3:E3"/>
    <mergeCell ref="D19:E19"/>
    <mergeCell ref="A6:B6"/>
    <mergeCell ref="A5:B5"/>
    <mergeCell ref="C5:T5"/>
    <mergeCell ref="L6:N6"/>
    <mergeCell ref="O7:T7"/>
    <mergeCell ref="A2:B2"/>
    <mergeCell ref="C2:E2"/>
    <mergeCell ref="F2:K2"/>
    <mergeCell ref="B40:D40"/>
    <mergeCell ref="F7:K7"/>
    <mergeCell ref="C7:E7"/>
    <mergeCell ref="A7:B7"/>
    <mergeCell ref="A3:B3"/>
    <mergeCell ref="A4:B4"/>
    <mergeCell ref="C4:D4"/>
  </mergeCells>
  <phoneticPr fontId="34" type="noConversion"/>
  <dataValidations count="3">
    <dataValidation type="list" allowBlank="1" showInputMessage="1" showErrorMessage="1" sqref="F39:T39" xr:uid="{133CCAF2-19F6-4DBB-89D9-5EFAF583685B}">
      <formula1>"N,A,B, "</formula1>
    </dataValidation>
    <dataValidation type="list" allowBlank="1" showInputMessage="1" showErrorMessage="1" sqref="F40:T40" xr:uid="{8D16B3DD-B25C-46C6-99C4-3BA4728F00AA}">
      <formula1>"P,F, "</formula1>
    </dataValidation>
    <dataValidation type="list" allowBlank="1" showInputMessage="1" showErrorMessage="1" sqref="F10:T38" xr:uid="{791ABB0A-A09A-45CC-82F6-9E595093476B}">
      <formula1>"O, "</formula1>
    </dataValidation>
  </dataValidations>
  <pageMargins left="0.75" right="0.75" top="0.75" bottom="0.75" header="0.5" footer="0.5"/>
  <pageSetup paperSize="9" orientation="portrait" horizontalDpi="300" verticalDpi="300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668D7-F143-4F78-BED2-2F8E6CC4F63D}">
  <dimension ref="A1:W43"/>
  <sheetViews>
    <sheetView workbookViewId="0">
      <pane ySplit="9" topLeftCell="A10" activePane="bottomLeft" state="frozen"/>
      <selection pane="bottomLeft" activeCell="A10" sqref="A10"/>
    </sheetView>
  </sheetViews>
  <sheetFormatPr defaultColWidth="9" defaultRowHeight="13.5" customHeight="1"/>
  <cols>
    <col min="1" max="1" width="8.109375" style="85" customWidth="1"/>
    <col min="2" max="2" width="13.33203125" style="89" customWidth="1"/>
    <col min="3" max="3" width="10.77734375" style="85" customWidth="1"/>
    <col min="4" max="4" width="11.33203125" style="86" customWidth="1"/>
    <col min="5" max="5" width="1.77734375" style="85" hidden="1" customWidth="1"/>
    <col min="6" max="7" width="2.77734375" style="85" bestFit="1" customWidth="1"/>
    <col min="8" max="8" width="2.77734375" style="85" customWidth="1"/>
    <col min="9" max="10" width="2.77734375" style="85" bestFit="1" customWidth="1"/>
    <col min="11" max="19" width="2.77734375" style="85" customWidth="1"/>
    <col min="20" max="20" width="2.77734375" style="85" bestFit="1" customWidth="1"/>
    <col min="21" max="21" width="2.77734375" style="85" customWidth="1"/>
    <col min="22" max="16384" width="9" style="85"/>
  </cols>
  <sheetData>
    <row r="1" spans="1:23" ht="22.5" customHeight="1" thickBot="1">
      <c r="A1" s="92"/>
      <c r="B1" s="195"/>
      <c r="D1" s="196"/>
    </row>
    <row r="2" spans="1:23" ht="15" customHeight="1">
      <c r="A2" s="364" t="s">
        <v>104</v>
      </c>
      <c r="B2" s="365"/>
      <c r="C2" s="366" t="str">
        <f>Functions!E12</f>
        <v>AUTH02</v>
      </c>
      <c r="D2" s="368"/>
      <c r="E2" s="197"/>
      <c r="F2" s="365" t="s">
        <v>23</v>
      </c>
      <c r="G2" s="365"/>
      <c r="H2" s="365"/>
      <c r="I2" s="365"/>
      <c r="J2" s="365"/>
      <c r="K2" s="365"/>
      <c r="L2" s="366" t="str">
        <f>Functions!D12</f>
        <v>verifyEmail</v>
      </c>
      <c r="M2" s="366"/>
      <c r="N2" s="366"/>
      <c r="O2" s="366"/>
      <c r="P2" s="366"/>
      <c r="Q2" s="366"/>
      <c r="R2" s="366"/>
      <c r="S2" s="366"/>
      <c r="T2" s="367"/>
    </row>
    <row r="3" spans="1:23" ht="13.5" customHeight="1">
      <c r="A3" s="372" t="s">
        <v>105</v>
      </c>
      <c r="B3" s="373"/>
      <c r="C3" s="339" t="str">
        <v>tam0605</v>
      </c>
      <c r="D3" s="340"/>
      <c r="E3" s="341"/>
      <c r="F3" s="369" t="s">
        <v>106</v>
      </c>
      <c r="G3" s="370"/>
      <c r="H3" s="370"/>
      <c r="I3" s="370"/>
      <c r="J3" s="370"/>
      <c r="K3" s="371"/>
      <c r="L3" s="340" t="str">
        <v>tam0605</v>
      </c>
      <c r="M3" s="340"/>
      <c r="N3" s="340"/>
      <c r="O3" s="192"/>
      <c r="P3" s="192"/>
      <c r="Q3" s="192"/>
      <c r="R3" s="192"/>
      <c r="S3" s="192"/>
      <c r="T3" s="193"/>
    </row>
    <row r="4" spans="1:23" ht="13.5" customHeight="1">
      <c r="A4" s="332" t="s">
        <v>107</v>
      </c>
      <c r="B4" s="333"/>
      <c r="C4" s="334" t="n">
        <v>49</v>
      </c>
      <c r="D4" s="335"/>
      <c r="E4" s="206"/>
      <c r="F4" s="357" t="s">
        <v>108</v>
      </c>
      <c r="G4" s="358"/>
      <c r="H4" s="358"/>
      <c r="I4" s="358"/>
      <c r="J4" s="358"/>
      <c r="K4" s="359"/>
      <c r="L4" s="360" t="str">
        <f xml:space="preserve"> IF(Functions!E6&lt;&gt;"N/A",SUM(C4*Functions!E6/1000,- O7),"N/A")</f>
        <v>N/A</v>
      </c>
      <c r="M4" s="361"/>
      <c r="N4" s="361"/>
      <c r="O4" s="361"/>
      <c r="P4" s="361"/>
      <c r="Q4" s="361"/>
      <c r="R4" s="361"/>
      <c r="S4" s="361"/>
      <c r="T4" s="362"/>
      <c r="V4" s="87"/>
    </row>
    <row r="5" spans="1:23" ht="13.5" customHeight="1">
      <c r="A5" s="332" t="s">
        <v>109</v>
      </c>
      <c r="B5" s="333"/>
      <c r="C5" s="345" t="str">
        <v>HTTP: 1=200,2=201,3=400,4=401,5=403,6=404,7=500; docs/Test-plan.md</v>
      </c>
      <c r="D5" s="345"/>
      <c r="E5" s="345"/>
      <c r="F5" s="346"/>
      <c r="G5" s="346"/>
      <c r="H5" s="346"/>
      <c r="I5" s="346"/>
      <c r="J5" s="346"/>
      <c r="K5" s="346"/>
      <c r="L5" s="345"/>
      <c r="M5" s="345"/>
      <c r="N5" s="345"/>
      <c r="O5" s="345"/>
      <c r="P5" s="345"/>
      <c r="Q5" s="345"/>
      <c r="R5" s="345"/>
      <c r="S5" s="345"/>
      <c r="T5" s="345"/>
    </row>
    <row r="6" spans="1:23" ht="13.5" customHeight="1">
      <c r="A6" s="343" t="s">
        <v>34</v>
      </c>
      <c r="B6" s="344"/>
      <c r="C6" s="355" t="s">
        <v>35</v>
      </c>
      <c r="D6" s="347"/>
      <c r="E6" s="356"/>
      <c r="F6" s="355" t="s">
        <v>36</v>
      </c>
      <c r="G6" s="347"/>
      <c r="H6" s="347"/>
      <c r="I6" s="347"/>
      <c r="J6" s="347"/>
      <c r="K6" s="363"/>
      <c r="L6" s="347" t="s">
        <v>110</v>
      </c>
      <c r="M6" s="347"/>
      <c r="N6" s="347"/>
      <c r="O6" s="350" t="s">
        <v>37</v>
      </c>
      <c r="P6" s="347"/>
      <c r="Q6" s="347"/>
      <c r="R6" s="347"/>
      <c r="S6" s="347"/>
      <c r="T6" s="351"/>
      <c r="V6" s="87"/>
    </row>
    <row r="7" spans="1:23" ht="13.5" customHeight="1" thickBot="1">
      <c r="A7" s="331">
        <f>COUNTIF(F40:HQ40,"P")</f>
        <v>15</v>
      </c>
      <c r="B7" s="330"/>
      <c r="C7" s="327">
        <f>COUNTIF(F40:HQ40,"F")</f>
        <v>0</v>
      </c>
      <c r="D7" s="328"/>
      <c r="E7" s="330"/>
      <c r="F7" s="327">
        <f>SUM(O7,- A7,- C7)</f>
        <v>0</v>
      </c>
      <c r="G7" s="328"/>
      <c r="H7" s="328"/>
      <c r="I7" s="328"/>
      <c r="J7" s="328"/>
      <c r="K7" s="329"/>
      <c r="L7" s="194">
        <f>COUNTIF(E39:HQ39,"N")</f>
        <v>3</v>
      </c>
      <c r="M7" s="194">
        <f>COUNTIF(E39:HQ39,"A")</f>
        <v>9</v>
      </c>
      <c r="N7" s="194">
        <f>COUNTIF(E39:HQ39,"B")</f>
        <v>3</v>
      </c>
      <c r="O7" s="348">
        <f>COUNTA(E9:HT9)</f>
        <v>15</v>
      </c>
      <c r="P7" s="328"/>
      <c r="Q7" s="328"/>
      <c r="R7" s="328"/>
      <c r="S7" s="328"/>
      <c r="T7" s="349"/>
      <c r="U7" s="88"/>
    </row>
    <row r="8" spans="1:23" ht="10.8" thickBot="1"/>
    <row r="9" spans="1:23" ht="37.200000000000003" thickTop="1" thickBot="1">
      <c r="A9" s="241"/>
      <c r="B9" s="242"/>
      <c r="C9" s="243"/>
      <c r="D9" s="244"/>
      <c r="E9" s="243"/>
      <c r="F9" s="245" t="str">
        <v>V01</v>
      </c>
      <c r="G9" s="245" t="str">
        <v>V02</v>
      </c>
      <c r="H9" s="245" t="str">
        <v>V03</v>
      </c>
      <c r="I9" s="245" t="str">
        <v>V04</v>
      </c>
      <c r="J9" s="245" t="str">
        <v>V05</v>
      </c>
      <c r="K9" s="245" t="str">
        <v>V06</v>
      </c>
      <c r="L9" s="245" t="str">
        <v>V07</v>
      </c>
      <c r="M9" s="245" t="str">
        <v>V08</v>
      </c>
      <c r="N9" s="245" t="str">
        <v>V09</v>
      </c>
      <c r="O9" s="245" t="str">
        <v>V10</v>
      </c>
      <c r="P9" s="245" t="str">
        <v>V11</v>
      </c>
      <c r="Q9" s="245" t="str">
        <v>V12</v>
      </c>
      <c r="R9" s="245" t="str">
        <v>V13</v>
      </c>
      <c r="S9" s="245" t="str">
        <v>V14</v>
      </c>
      <c r="T9" s="246" t="str">
        <v>V15</v>
      </c>
      <c r="U9" s="90"/>
      <c r="V9" s="91"/>
      <c r="W9" s="92"/>
    </row>
    <row r="10" spans="1:23" ht="13.5" customHeight="1">
      <c r="A10" s="235" t="s">
        <v>111</v>
      </c>
      <c r="B10" s="93" t="s">
        <v>97</v>
      </c>
      <c r="C10" s="94"/>
      <c r="D10" s="95"/>
      <c r="E10" s="96"/>
      <c r="F10" s="97"/>
      <c r="G10" s="97"/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247"/>
    </row>
    <row r="11" spans="1:23" ht="13.5" customHeight="1">
      <c r="A11" s="221"/>
      <c r="B11" s="93"/>
      <c r="C11" s="94"/>
      <c r="D11" s="95" t="str">
        <v>SQL/email mocked</v>
      </c>
      <c r="E11" s="98"/>
      <c r="F11" s="97"/>
      <c r="G11" s="97"/>
      <c r="H11" s="97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247"/>
      <c r="V11" s="87"/>
    </row>
    <row r="12" spans="1:23" ht="13.5" customHeight="1">
      <c r="A12" s="221"/>
      <c r="B12" s="93"/>
      <c r="C12" s="94"/>
      <c r="D12" s="95" t="str">
        <v>test@example.com</v>
      </c>
      <c r="E12" s="98"/>
      <c r="F12" s="97"/>
      <c r="G12" s="97"/>
      <c r="H12" s="97"/>
      <c r="I12" s="97"/>
      <c r="J12" s="97"/>
      <c r="K12" s="97"/>
      <c r="L12" s="97"/>
      <c r="M12" s="97"/>
      <c r="N12" s="97"/>
      <c r="O12" s="97"/>
      <c r="P12" s="97"/>
      <c r="Q12" s="97"/>
      <c r="R12" s="97"/>
      <c r="S12" s="97"/>
      <c r="T12" s="247"/>
    </row>
    <row r="13" spans="1:23" ht="13.5" customHeight="1">
      <c r="A13" s="221"/>
      <c r="B13" s="93"/>
      <c r="C13" s="94"/>
      <c r="D13" s="95" t="str">
        <v>code=550000</v>
      </c>
      <c r="E13" s="99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7"/>
      <c r="S13" s="97"/>
      <c r="T13" s="247"/>
      <c r="V13" s="87"/>
    </row>
    <row r="14" spans="1:23" ht="13.5" customHeight="1">
      <c r="A14" s="221"/>
      <c r="B14" s="93" t="str">
        <v>Input / state</v>
      </c>
      <c r="C14" s="94"/>
      <c r="D14" s="95"/>
      <c r="E14" s="100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247"/>
    </row>
    <row r="15" spans="1:23" ht="13.5" customHeight="1">
      <c r="A15" s="221"/>
      <c r="B15" s="93"/>
      <c r="C15" s="94"/>
      <c r="D15" s="95" t="str">
        <v>email=""</v>
      </c>
      <c r="E15" s="100"/>
      <c r="F15" s="97" t="str">
        <v>O</v>
      </c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7"/>
      <c r="S15" s="97"/>
      <c r="T15" s="247"/>
      <c r="U15"/>
      <c r="V15"/>
      <c r="W15"/>
    </row>
    <row r="16" spans="1:23" ht="13.5" customHeight="1">
      <c r="A16" s="221"/>
      <c r="B16" s="93"/>
      <c r="C16" s="94"/>
      <c r="D16" s="95" t="str">
        <v>code=""</v>
      </c>
      <c r="E16" s="100"/>
      <c r="F16" s="97"/>
      <c r="G16" s="97" t="str">
        <v>O</v>
      </c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247"/>
      <c r="U16"/>
      <c r="V16"/>
      <c r="W16"/>
    </row>
    <row r="17" spans="1:21" ht="13.5" customHeight="1">
      <c r="A17" s="221"/>
      <c r="B17" s="93"/>
      <c r="C17" s="94"/>
      <c r="D17" s="95" t="str">
        <v>user not found</v>
      </c>
      <c r="E17" s="100"/>
      <c r="F17" s="97"/>
      <c r="G17" s="97"/>
      <c r="H17" s="97" t="str">
        <v>O</v>
      </c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247"/>
      <c r="U17" s="101"/>
      <c r="V17"/>
      <c r="W17"/>
    </row>
    <row r="18" spans="1:21" ht="13.5" customHeight="1">
      <c r="A18" s="221"/>
      <c r="B18" s="93"/>
      <c r="C18" s="94"/>
      <c r="D18" s="95" t="str">
        <v>verified=true</v>
      </c>
      <c r="E18" s="100"/>
      <c r="F18" s="97"/>
      <c r="G18" s="97"/>
      <c r="H18" s="97"/>
      <c r="I18" s="97" t="str">
        <v>O</v>
      </c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247"/>
      <c r="U18" s="101"/>
      <c r="V18"/>
      <c r="W18"/>
    </row>
    <row r="19" spans="1:21" ht="13.5" customHeight="1">
      <c r="A19" s="221"/>
      <c r="B19" s="93"/>
      <c r="C19" s="94"/>
      <c r="D19" s="342" t="str">
        <v>code=wrong</v>
      </c>
      <c r="E19" s="342"/>
      <c r="F19" s="97"/>
      <c r="G19" s="97"/>
      <c r="H19" s="97"/>
      <c r="I19" s="97"/>
      <c r="J19" s="97" t="str">
        <v>O</v>
      </c>
      <c r="K19" s="97"/>
      <c r="L19" s="97"/>
      <c r="M19" s="97"/>
      <c r="N19" s="97"/>
      <c r="O19" s="97"/>
      <c r="P19" s="97"/>
      <c r="Q19" s="97"/>
      <c r="R19" s="97"/>
      <c r="S19" s="97"/>
      <c r="T19" s="247"/>
      <c r="U19"/>
      <c r="V19"/>
      <c r="W19"/>
    </row>
    <row r="20" spans="1:21" ht="13.5" customHeight="1">
      <c r="A20" s="221"/>
      <c r="B20" s="93"/>
      <c r="C20" s="94"/>
      <c r="D20" s="95" t="str">
        <v>code=used</v>
      </c>
      <c r="E20" s="100"/>
      <c r="F20" s="97"/>
      <c r="G20" s="97"/>
      <c r="H20" s="97"/>
      <c r="I20" s="97"/>
      <c r="J20" s="97"/>
      <c r="K20" s="97" t="str">
        <v>O</v>
      </c>
      <c r="L20" s="97"/>
      <c r="M20" s="97"/>
      <c r="N20" s="97"/>
      <c r="O20" s="97"/>
      <c r="P20" s="97"/>
      <c r="Q20" s="97"/>
      <c r="R20" s="97"/>
      <c r="S20" s="97"/>
      <c r="T20" s="247"/>
      <c r="U20"/>
      <c r="V20"/>
      <c r="W20"/>
    </row>
    <row r="21" spans="1:21" ht="13.5" customHeight="1">
      <c r="A21" s="221"/>
      <c r="B21" s="93"/>
      <c r="C21" s="94"/>
      <c r="D21" s="95" t="str">
        <v>expiry=now-1ms</v>
      </c>
      <c r="E21" s="100"/>
      <c r="F21" s="97"/>
      <c r="G21" s="97"/>
      <c r="H21" s="97"/>
      <c r="I21" s="97"/>
      <c r="J21" s="97"/>
      <c r="K21" s="97"/>
      <c r="L21" s="97" t="str">
        <v>O</v>
      </c>
      <c r="M21" s="97"/>
      <c r="N21" s="97"/>
      <c r="O21" s="97"/>
      <c r="P21" s="97"/>
      <c r="Q21" s="97"/>
      <c r="R21" s="97"/>
      <c r="S21" s="97"/>
      <c r="T21" s="247"/>
      <c r="U21"/>
      <c r="V21"/>
      <c r="W21"/>
    </row>
    <row r="22" spans="1:21" ht="13.5" customHeight="1">
      <c r="A22" s="221"/>
      <c r="B22" s="93"/>
      <c r="C22" s="94"/>
      <c r="D22" s="95" t="str">
        <v>expiry=now</v>
      </c>
      <c r="E22" s="100"/>
      <c r="F22" s="97"/>
      <c r="G22" s="97"/>
      <c r="H22" s="97"/>
      <c r="I22" s="97"/>
      <c r="J22" s="97"/>
      <c r="K22" s="97"/>
      <c r="L22" s="97"/>
      <c r="M22" s="97" t="str">
        <v>O</v>
      </c>
      <c r="N22" s="97"/>
      <c r="O22" s="97"/>
      <c r="P22" s="97"/>
      <c r="Q22" s="97"/>
      <c r="R22" s="97"/>
      <c r="S22" s="97"/>
      <c r="T22" s="247"/>
      <c r="U22"/>
      <c r="V22"/>
      <c r="W22"/>
    </row>
    <row r="23" spans="1:21" ht="13.5" customHeight="1">
      <c r="A23" s="221"/>
      <c r="B23" s="93"/>
      <c r="C23" s="94"/>
      <c r="D23" s="95" t="str">
        <v>expiry=now+1ms</v>
      </c>
      <c r="E23" s="100"/>
      <c r="F23" s="97"/>
      <c r="G23" s="97"/>
      <c r="H23" s="97"/>
      <c r="I23" s="97"/>
      <c r="J23" s="97"/>
      <c r="K23" s="97"/>
      <c r="L23" s="97"/>
      <c r="M23" s="97"/>
      <c r="N23" s="97" t="str">
        <v>O</v>
      </c>
      <c r="O23" s="97"/>
      <c r="P23" s="97"/>
      <c r="Q23" s="97"/>
      <c r="R23" s="97"/>
      <c r="S23" s="97"/>
      <c r="T23" s="247"/>
      <c r="U23"/>
      <c r="V23"/>
      <c r="W23"/>
    </row>
    <row r="24" spans="1:21" ht="13.5" customHeight="1">
      <c r="A24" s="221"/>
      <c r="B24" s="93"/>
      <c r="C24" s="94"/>
      <c r="D24" s="95" t="str">
        <v>expiry=now+10m</v>
      </c>
      <c r="E24" s="100"/>
      <c r="F24" s="97"/>
      <c r="G24" s="97"/>
      <c r="H24" s="97"/>
      <c r="I24" s="97"/>
      <c r="J24" s="97"/>
      <c r="K24" s="97"/>
      <c r="L24" s="97"/>
      <c r="M24" s="97"/>
      <c r="N24" s="97"/>
      <c r="O24" s="97" t="str">
        <v>O</v>
      </c>
      <c r="P24" s="97"/>
      <c r="Q24" s="97"/>
      <c r="R24" s="97"/>
      <c r="S24" s="97"/>
      <c r="T24" s="247"/>
      <c r="U24"/>
      <c r="V24"/>
      <c r="W24"/>
    </row>
    <row r="25" spans="1:21" ht="13.5" customHeight="1">
      <c r="A25" s="221"/>
      <c r="B25" s="93"/>
      <c r="C25" s="94"/>
      <c r="D25" s="95" t="str">
        <v>query1 rejects</v>
      </c>
      <c r="E25" s="100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 t="str">
        <v>O</v>
      </c>
      <c r="Q25" s="97"/>
      <c r="R25" s="97"/>
      <c r="S25" s="97"/>
      <c r="T25" s="247"/>
      <c r="U25"/>
      <c r="V25"/>
      <c r="W25"/>
    </row>
    <row r="26" spans="1:21" ht="13.5" customHeight="1">
      <c r="A26" s="221"/>
      <c r="B26" s="93"/>
      <c r="C26" s="94"/>
      <c r="D26" s="95" t="str">
        <v>query2 rejects</v>
      </c>
      <c r="E26" s="100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 t="str">
        <v>O</v>
      </c>
      <c r="R26" s="97"/>
      <c r="S26" s="97"/>
      <c r="T26" s="247"/>
      <c r="U26"/>
      <c r="V26"/>
      <c r="W26"/>
    </row>
    <row r="27" spans="1:21" ht="13.5" customHeight="1">
      <c r="A27" s="221"/>
      <c r="B27" s="93"/>
      <c r="C27" s="94"/>
      <c r="D27" s="95" t="str">
        <v>query3 rejects</v>
      </c>
      <c r="E27" s="100"/>
      <c r="F27" s="97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 t="str">
        <v>O</v>
      </c>
      <c r="S27" s="97"/>
      <c r="T27" s="247"/>
      <c r="U27"/>
      <c r="V27"/>
      <c r="W27"/>
    </row>
    <row r="28" spans="1:21" ht="13.5" customHeight="1">
      <c r="A28" s="221"/>
      <c r="B28" s="93"/>
      <c r="C28" s="94"/>
      <c r="D28" s="95" t="str">
        <v>query4 rejects</v>
      </c>
      <c r="E28" s="100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 t="str">
        <v>O</v>
      </c>
      <c r="T28" s="247"/>
      <c r="U28"/>
      <c r="V28"/>
      <c r="W28"/>
    </row>
    <row r="29" spans="1:21" ht="13.5" customHeight="1">
      <c r="A29" s="221"/>
      <c r="B29" s="93"/>
      <c r="C29" s="94"/>
      <c r="D29" s="95" t="str">
        <v>valid OTP</v>
      </c>
      <c r="E29" s="100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247" t="str">
        <v>O</v>
      </c>
      <c r="U29"/>
      <c r="V29"/>
      <c r="W29"/>
    </row>
    <row r="30" spans="1:21" ht="13.5" customHeight="1" thickBot="1">
      <c r="A30" s="221"/>
      <c r="B30" s="102"/>
      <c r="C30" s="103"/>
      <c r="D30" s="104"/>
      <c r="E30" s="105"/>
      <c r="F30" s="106"/>
      <c r="G30" s="106"/>
      <c r="H30" s="106"/>
      <c r="I30" s="106"/>
      <c r="J30" s="106"/>
      <c r="K30" s="106"/>
      <c r="L30" s="106"/>
      <c r="M30" s="106"/>
      <c r="N30" s="106"/>
      <c r="O30" s="106"/>
      <c r="P30" s="106"/>
      <c r="Q30" s="106"/>
      <c r="R30" s="106"/>
      <c r="S30" s="106"/>
      <c r="T30" s="248"/>
      <c r="U30"/>
      <c r="V30"/>
      <c r="W30"/>
    </row>
    <row r="31" spans="1:21" ht="13.5" customHeight="1" thickTop="1">
      <c r="A31" s="234" t="s">
        <v>115</v>
      </c>
      <c r="B31" s="107" t="s">
        <v>100</v>
      </c>
      <c r="C31" s="108"/>
      <c r="D31" s="109"/>
      <c r="E31" s="110"/>
      <c r="F31" s="111"/>
      <c r="G31" s="111"/>
      <c r="H31" s="111"/>
      <c r="I31" s="111"/>
      <c r="J31" s="111"/>
      <c r="K31" s="111"/>
      <c r="L31" s="111"/>
      <c r="M31" s="111"/>
      <c r="N31" s="111"/>
      <c r="O31" s="111"/>
      <c r="P31" s="111"/>
      <c r="Q31" s="111"/>
      <c r="R31" s="111"/>
      <c r="S31" s="111"/>
      <c r="T31" s="249"/>
    </row>
    <row r="32" spans="1:21" ht="13.5" customHeight="1">
      <c r="A32" s="233"/>
      <c r="B32" s="112"/>
      <c r="C32" s="113"/>
      <c r="D32" s="114" t="str">
        <v>HTTP code (C5)</v>
      </c>
      <c r="E32" s="115"/>
      <c r="F32" s="97" t="n">
        <v>3</v>
      </c>
      <c r="G32" s="97" t="n">
        <v>3</v>
      </c>
      <c r="H32" s="97" t="n">
        <v>6</v>
      </c>
      <c r="I32" s="97" t="n">
        <v>1</v>
      </c>
      <c r="J32" s="97" t="n">
        <v>3</v>
      </c>
      <c r="K32" s="97" t="n">
        <v>3</v>
      </c>
      <c r="L32" s="97" t="n">
        <v>3</v>
      </c>
      <c r="M32" s="97" t="n">
        <v>1</v>
      </c>
      <c r="N32" s="97" t="n">
        <v>1</v>
      </c>
      <c r="O32" s="97" t="n">
        <v>1</v>
      </c>
      <c r="P32" s="97" t="n">
        <v>7</v>
      </c>
      <c r="Q32" s="97" t="n">
        <v>7</v>
      </c>
      <c r="R32" s="97" t="n">
        <v>7</v>
      </c>
      <c r="S32" s="97" t="n">
        <v>7</v>
      </c>
      <c r="T32" s="247" t="n">
        <v>1</v>
      </c>
      <c r="U32"/>
      <c r="V32"/>
      <c r="W32"/>
    </row>
    <row r="33" spans="1:20" ht="13.5" customHeight="1">
      <c r="A33" s="233"/>
      <c r="B33" s="112"/>
      <c r="C33" s="116"/>
      <c r="D33" s="114" t="str">
        <v>Body checked</v>
      </c>
      <c r="E33" s="117"/>
      <c r="F33" s="97" t="str">
        <v>O</v>
      </c>
      <c r="G33" s="97" t="str">
        <v>O</v>
      </c>
      <c r="H33" s="97" t="str">
        <v>O</v>
      </c>
      <c r="I33" s="97" t="str">
        <v>O</v>
      </c>
      <c r="J33" s="97" t="str">
        <v>O</v>
      </c>
      <c r="K33" s="97" t="str">
        <v>O</v>
      </c>
      <c r="L33" s="97" t="str">
        <v>O</v>
      </c>
      <c r="M33" s="97" t="str">
        <v>O</v>
      </c>
      <c r="N33" s="97" t="str">
        <v>O</v>
      </c>
      <c r="O33" s="97" t="str">
        <v>O</v>
      </c>
      <c r="P33" s="97" t="str">
        <v>O</v>
      </c>
      <c r="Q33" s="97" t="str">
        <v>O</v>
      </c>
      <c r="R33" s="97" t="str">
        <v>O</v>
      </c>
      <c r="S33" s="97" t="str">
        <v>O</v>
      </c>
      <c r="T33" s="247" t="str">
        <v>O</v>
      </c>
      <c r="U33"/>
      <c r="V33"/>
      <c r="W33"/>
    </row>
    <row r="34" spans="1:20" ht="13.5" customHeight="1">
      <c r="A34" s="233"/>
      <c r="B34" s="112" t="s">
        <v>101</v>
      </c>
      <c r="C34" s="116"/>
      <c r="D34" s="114"/>
      <c r="E34" s="11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247"/>
    </row>
    <row r="35" spans="1:20" ht="13.5" customHeight="1">
      <c r="A35" s="233"/>
      <c r="B35" s="112"/>
      <c r="C35" s="116"/>
      <c r="D35" s="114" t="str">
        <v>None</v>
      </c>
      <c r="E35" s="117"/>
      <c r="F35" s="97" t="str">
        <v>O</v>
      </c>
      <c r="G35" s="97" t="str">
        <v>O</v>
      </c>
      <c r="H35" s="97" t="str">
        <v>O</v>
      </c>
      <c r="I35" s="97" t="str">
        <v>O</v>
      </c>
      <c r="J35" s="97" t="str">
        <v>O</v>
      </c>
      <c r="K35" s="97" t="str">
        <v>O</v>
      </c>
      <c r="L35" s="97" t="str">
        <v>O</v>
      </c>
      <c r="M35" s="97" t="str">
        <v>O</v>
      </c>
      <c r="N35" s="97" t="str">
        <v>O</v>
      </c>
      <c r="O35" s="97" t="str">
        <v>O</v>
      </c>
      <c r="P35" s="97" t="str">
        <v>O</v>
      </c>
      <c r="Q35" s="97" t="str">
        <v>O</v>
      </c>
      <c r="R35" s="97" t="str">
        <v>O</v>
      </c>
      <c r="S35" s="97" t="str">
        <v>O</v>
      </c>
      <c r="T35" s="247" t="str">
        <v>O</v>
      </c>
      <c r="U35"/>
      <c r="V35"/>
      <c r="W35"/>
    </row>
    <row r="36" spans="1:20" ht="13.5" customHeight="1">
      <c r="A36" s="233"/>
      <c r="B36" s="112" t="s">
        <v>102</v>
      </c>
      <c r="C36" s="116"/>
      <c r="D36" s="114"/>
      <c r="E36" s="11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247"/>
    </row>
    <row r="37" spans="1:20" ht="13.5" customHeight="1">
      <c r="A37" s="233"/>
      <c r="B37" s="112"/>
      <c r="C37" s="116"/>
      <c r="D37" s="114" t="str">
        <v>Not asserted</v>
      </c>
      <c r="E37" s="11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247"/>
      <c r="U37"/>
      <c r="V37"/>
      <c r="W37"/>
    </row>
    <row r="38" spans="1:20" ht="13.5" customHeight="1" thickBot="1">
      <c r="A38" s="233"/>
      <c r="B38" s="207"/>
      <c r="C38" s="208"/>
      <c r="D38" s="209" t="str">
        <v>Not asserted</v>
      </c>
      <c r="E38" s="210"/>
      <c r="F38" s="239"/>
      <c r="G38" s="239"/>
      <c r="H38" s="239"/>
      <c r="I38" s="239"/>
      <c r="J38" s="239"/>
      <c r="K38" s="239"/>
      <c r="L38" s="239"/>
      <c r="M38" s="239"/>
      <c r="N38" s="239"/>
      <c r="O38" s="239"/>
      <c r="P38" s="239"/>
      <c r="Q38" s="239"/>
      <c r="R38" s="239"/>
      <c r="S38" s="239"/>
      <c r="T38" s="250"/>
      <c r="U38"/>
      <c r="V38"/>
      <c r="W38"/>
    </row>
    <row r="39" spans="1:20" ht="13.5" customHeight="1" thickTop="1">
      <c r="A39" s="234" t="s">
        <v>68</v>
      </c>
      <c r="B39" s="338" t="s">
        <v>69</v>
      </c>
      <c r="C39" s="338"/>
      <c r="D39" s="338"/>
      <c r="E39" s="212"/>
      <c r="F39" s="240" t="str">
        <v>A</v>
      </c>
      <c r="G39" s="240" t="str">
        <v>A</v>
      </c>
      <c r="H39" s="240" t="str">
        <v>A</v>
      </c>
      <c r="I39" s="240" t="str">
        <v>N</v>
      </c>
      <c r="J39" s="240" t="str">
        <v>A</v>
      </c>
      <c r="K39" s="240" t="str">
        <v>A</v>
      </c>
      <c r="L39" s="240" t="str">
        <v>B</v>
      </c>
      <c r="M39" s="240" t="str">
        <v>B</v>
      </c>
      <c r="N39" s="240" t="str">
        <v>B</v>
      </c>
      <c r="O39" s="240" t="str">
        <v>N</v>
      </c>
      <c r="P39" s="240" t="str">
        <v>A</v>
      </c>
      <c r="Q39" s="240" t="str">
        <v>A</v>
      </c>
      <c r="R39" s="240" t="str">
        <v>A</v>
      </c>
      <c r="S39" s="240" t="str">
        <v>A</v>
      </c>
      <c r="T39" s="251" t="str">
        <v>N</v>
      </c>
      <c r="U39"/>
      <c r="V39"/>
      <c r="W39"/>
    </row>
    <row r="40" spans="1:20" ht="13.5" customHeight="1">
      <c r="A40" s="233"/>
      <c r="B40" s="326" t="s">
        <v>73</v>
      </c>
      <c r="C40" s="326"/>
      <c r="D40" s="326"/>
      <c r="E40" s="119"/>
      <c r="F40" s="118" t="str">
        <v>P</v>
      </c>
      <c r="G40" s="118" t="str">
        <v>P</v>
      </c>
      <c r="H40" s="118" t="str">
        <v>P</v>
      </c>
      <c r="I40" s="118" t="str">
        <v>P</v>
      </c>
      <c r="J40" s="118" t="str">
        <v>P</v>
      </c>
      <c r="K40" s="118" t="str">
        <v>P</v>
      </c>
      <c r="L40" s="118" t="str">
        <v>P</v>
      </c>
      <c r="M40" s="118" t="str">
        <v>P</v>
      </c>
      <c r="N40" s="118" t="str">
        <v>P</v>
      </c>
      <c r="O40" s="118" t="str">
        <v>P</v>
      </c>
      <c r="P40" s="118" t="str">
        <v>P</v>
      </c>
      <c r="Q40" s="118" t="str">
        <v>P</v>
      </c>
      <c r="R40" s="118" t="str">
        <v>P</v>
      </c>
      <c r="S40" s="118" t="str">
        <v>P</v>
      </c>
      <c r="T40" s="252" t="str">
        <v>P</v>
      </c>
      <c r="U40"/>
      <c r="V40"/>
      <c r="W40"/>
    </row>
    <row r="41" spans="1:20" ht="13.5" customHeight="1">
      <c r="A41" s="233"/>
      <c r="B41" s="336" t="s">
        <v>76</v>
      </c>
      <c r="C41" s="336"/>
      <c r="D41" s="336"/>
      <c r="E41" s="120"/>
      <c r="F41" s="121" t="str">
        <v>7/10</v>
      </c>
      <c r="G41" s="121" t="str">
        <v>7/10</v>
      </c>
      <c r="H41" s="121" t="str">
        <v>7/10</v>
      </c>
      <c r="I41" s="121" t="str">
        <v>7/10</v>
      </c>
      <c r="J41" s="121" t="str">
        <v>7/10</v>
      </c>
      <c r="K41" s="121" t="str">
        <v>7/10</v>
      </c>
      <c r="L41" s="121" t="str">
        <v>7/10</v>
      </c>
      <c r="M41" s="121" t="str">
        <v>7/10</v>
      </c>
      <c r="N41" s="121" t="str">
        <v>7/10</v>
      </c>
      <c r="O41" s="121" t="str">
        <v>7/10</v>
      </c>
      <c r="P41" s="121" t="str">
        <v>7/10</v>
      </c>
      <c r="Q41" s="121" t="str">
        <v>7/10</v>
      </c>
      <c r="R41" s="121" t="str">
        <v>7/10</v>
      </c>
      <c r="S41" s="121" t="str">
        <v>7/10</v>
      </c>
      <c r="T41" s="228" t="str">
        <v>7/10</v>
      </c>
      <c r="U41"/>
      <c r="V41"/>
      <c r="W41"/>
    </row>
    <row r="42" spans="1:20" ht="73.2" thickBot="1">
      <c r="A42" s="253"/>
      <c r="B42" s="337" t="s">
        <v>77</v>
      </c>
      <c r="C42" s="337"/>
      <c r="D42" s="337"/>
      <c r="E42" s="230"/>
      <c r="F42" s="231"/>
      <c r="G42" s="231"/>
      <c r="H42" s="231"/>
      <c r="I42" s="231"/>
      <c r="J42" s="231"/>
      <c r="K42" s="231"/>
      <c r="L42" s="231"/>
      <c r="M42" s="231"/>
      <c r="N42" s="231"/>
      <c r="O42" s="231"/>
      <c r="P42" s="231"/>
      <c r="Q42" s="231"/>
      <c r="R42" s="231"/>
      <c r="S42" s="231"/>
      <c r="T42" s="232"/>
      <c r="U42"/>
      <c r="V42"/>
      <c r="W42"/>
    </row>
    <row r="43" spans="1:20" ht="10.8" thickTop="1">
      <c r="A43" s="89"/>
      <c r="B43" s="85"/>
      <c r="C43" s="86"/>
      <c r="D43" s="85"/>
    </row>
  </sheetData>
  <mergeCells count="28">
    <mergeCell ref="B41:D41"/>
    <mergeCell ref="A7:B7"/>
    <mergeCell ref="B42:D42"/>
    <mergeCell ref="B39:D39"/>
    <mergeCell ref="C3:E3"/>
    <mergeCell ref="A3:B3"/>
    <mergeCell ref="A4:B4"/>
    <mergeCell ref="C4:D4"/>
    <mergeCell ref="D19:E19"/>
    <mergeCell ref="A6:B6"/>
    <mergeCell ref="F6:K6"/>
    <mergeCell ref="F4:K4"/>
    <mergeCell ref="L6:N6"/>
    <mergeCell ref="F7:K7"/>
    <mergeCell ref="C7:E7"/>
    <mergeCell ref="B40:D40"/>
    <mergeCell ref="A5:B5"/>
    <mergeCell ref="C5:T5"/>
    <mergeCell ref="A2:B2"/>
    <mergeCell ref="O7:T7"/>
    <mergeCell ref="F2:K2"/>
    <mergeCell ref="L2:T2"/>
    <mergeCell ref="C2:D2"/>
    <mergeCell ref="O6:T6"/>
    <mergeCell ref="L3:N3"/>
    <mergeCell ref="C6:E6"/>
    <mergeCell ref="F3:K3"/>
    <mergeCell ref="L4:T4"/>
  </mergeCells>
  <phoneticPr fontId="34" type="noConversion"/>
  <dataValidations count="3">
    <dataValidation type="list" allowBlank="1" showInputMessage="1" showErrorMessage="1" sqref="F39:T39" xr:uid="{4F0FDADA-C9EF-400A-881A-AF3E51DEA759}">
      <formula1>"N,A,B, "</formula1>
    </dataValidation>
    <dataValidation type="list" allowBlank="1" showInputMessage="1" showErrorMessage="1" sqref="F40:T40" xr:uid="{573C0A90-0C1B-494A-9AC5-3425306E3FA4}">
      <formula1>"P,F, "</formula1>
    </dataValidation>
    <dataValidation type="list" allowBlank="1" showInputMessage="1" showErrorMessage="1" sqref="F10:T38" xr:uid="{E5CBA5B6-2878-420E-925D-890A3C1FCFED}">
      <formula1>"O, "</formula1>
    </dataValidation>
  </dataValidations>
  <pageMargins left="0.75" right="0.75" top="0.75" bottom="0.75" header="0.5" footer="0.5"/>
  <pageSetup paperSize="9" orientation="portrait" horizontalDpi="300" verticalDpi="300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69D6-4470-400C-BD8E-C9AD0E740FD0}">
  <dimension ref="A1:W43"/>
  <sheetViews>
    <sheetView workbookViewId="0">
      <pane ySplit="9" topLeftCell="A10" activePane="bottomLeft" state="frozen"/>
      <selection pane="bottomLeft" activeCell="A10" sqref="A10"/>
    </sheetView>
  </sheetViews>
  <sheetFormatPr defaultColWidth="9" defaultRowHeight="13.5" customHeight="1"/>
  <cols>
    <col min="1" max="1" width="6.77734375" style="122" customWidth="1"/>
    <col min="2" max="2" width="13.33203125" style="126" customWidth="1"/>
    <col min="3" max="3" width="10.77734375" style="122" customWidth="1"/>
    <col min="4" max="4" width="11.33203125" style="123" customWidth="1"/>
    <col min="5" max="5" width="1.77734375" style="122" hidden="1" customWidth="1"/>
    <col min="6" max="7" width="2.77734375" style="122" bestFit="1" customWidth="1"/>
    <col min="8" max="8" width="2.77734375" style="122" customWidth="1"/>
    <col min="9" max="10" width="2.77734375" style="122" bestFit="1" customWidth="1"/>
    <col min="11" max="19" width="2.77734375" style="122" customWidth="1"/>
    <col min="20" max="20" width="2.77734375" style="122" bestFit="1" customWidth="1"/>
    <col min="21" max="21" width="2.77734375" style="122" customWidth="1"/>
    <col min="22" max="16384" width="9" style="122"/>
  </cols>
  <sheetData>
    <row r="1" spans="1:23" ht="13.5" customHeight="1" thickBot="1">
      <c r="A1" s="129"/>
      <c r="B1" s="198"/>
    </row>
    <row r="2" spans="1:23" ht="13.5" customHeight="1">
      <c r="A2" s="364" t="s">
        <v>104</v>
      </c>
      <c r="B2" s="365"/>
      <c r="C2" s="366" t="str">
        <f>Functions!E13</f>
        <v>AUTH03</v>
      </c>
      <c r="D2" s="368"/>
      <c r="F2" s="365" t="s">
        <v>23</v>
      </c>
      <c r="G2" s="365"/>
      <c r="H2" s="365"/>
      <c r="I2" s="365"/>
      <c r="J2" s="365"/>
      <c r="K2" s="365"/>
      <c r="L2" s="374" t="str">
        <f>Functions!D13</f>
        <v>login</v>
      </c>
      <c r="M2" s="375"/>
      <c r="N2" s="375"/>
      <c r="O2" s="375"/>
      <c r="P2" s="375"/>
      <c r="Q2" s="375"/>
      <c r="R2" s="375"/>
      <c r="S2" s="375"/>
      <c r="T2" s="376"/>
    </row>
    <row r="3" spans="1:23" ht="13.5" customHeight="1">
      <c r="A3" s="398" t="s">
        <v>105</v>
      </c>
      <c r="B3" s="399"/>
      <c r="C3" s="402" t="str">
        <v>tam0605</v>
      </c>
      <c r="D3" s="385"/>
      <c r="E3" s="403"/>
      <c r="F3" s="380" t="s">
        <v>106</v>
      </c>
      <c r="G3" s="381"/>
      <c r="H3" s="381"/>
      <c r="I3" s="381"/>
      <c r="J3" s="381"/>
      <c r="K3" s="382"/>
      <c r="L3" s="385" t="str">
        <v>tam0605</v>
      </c>
      <c r="M3" s="385"/>
      <c r="N3" s="385"/>
      <c r="O3" s="260"/>
      <c r="P3" s="260"/>
      <c r="Q3" s="260"/>
      <c r="R3" s="260"/>
      <c r="S3" s="260"/>
      <c r="T3" s="261"/>
    </row>
    <row r="4" spans="1:23" ht="13.5" customHeight="1">
      <c r="A4" s="398" t="s">
        <v>107</v>
      </c>
      <c r="B4" s="399"/>
      <c r="C4" s="389" t="n">
        <v>91</v>
      </c>
      <c r="D4" s="390"/>
      <c r="E4" s="262"/>
      <c r="F4" s="380" t="s">
        <v>108</v>
      </c>
      <c r="G4" s="381"/>
      <c r="H4" s="381"/>
      <c r="I4" s="381"/>
      <c r="J4" s="381"/>
      <c r="K4" s="382"/>
      <c r="L4" s="386" t="str">
        <f xml:space="preserve"> IF(Functions!E6&lt;&gt;"N/A",SUM(C4*Functions!E6/1000,- O7),"N/A")</f>
        <v>N/A</v>
      </c>
      <c r="M4" s="387"/>
      <c r="N4" s="387"/>
      <c r="O4" s="387"/>
      <c r="P4" s="387"/>
      <c r="Q4" s="387"/>
      <c r="R4" s="387"/>
      <c r="S4" s="387"/>
      <c r="T4" s="388"/>
      <c r="V4" s="124"/>
    </row>
    <row r="5" spans="1:23" ht="13.5" customHeight="1">
      <c r="A5" s="398" t="s">
        <v>109</v>
      </c>
      <c r="B5" s="399"/>
      <c r="C5" s="407" t="str">
        <v>HTTP: 1=200,2=201,3=400,4=401,5=403,6=404,7=500; docs/Test-plan.md</v>
      </c>
      <c r="D5" s="407"/>
      <c r="E5" s="407"/>
      <c r="F5" s="408"/>
      <c r="G5" s="408"/>
      <c r="H5" s="408"/>
      <c r="I5" s="408"/>
      <c r="J5" s="408"/>
      <c r="K5" s="408"/>
      <c r="L5" s="407"/>
      <c r="M5" s="407"/>
      <c r="N5" s="407"/>
      <c r="O5" s="407"/>
      <c r="P5" s="407"/>
      <c r="Q5" s="407"/>
      <c r="R5" s="407"/>
      <c r="S5" s="407"/>
      <c r="T5" s="407"/>
    </row>
    <row r="6" spans="1:23" ht="13.5" customHeight="1">
      <c r="A6" s="405" t="s">
        <v>34</v>
      </c>
      <c r="B6" s="406"/>
      <c r="C6" s="377" t="s">
        <v>35</v>
      </c>
      <c r="D6" s="378"/>
      <c r="E6" s="397"/>
      <c r="F6" s="377" t="s">
        <v>36</v>
      </c>
      <c r="G6" s="378"/>
      <c r="H6" s="378"/>
      <c r="I6" s="378"/>
      <c r="J6" s="378"/>
      <c r="K6" s="379"/>
      <c r="L6" s="378" t="s">
        <v>110</v>
      </c>
      <c r="M6" s="378"/>
      <c r="N6" s="378"/>
      <c r="O6" s="383" t="s">
        <v>37</v>
      </c>
      <c r="P6" s="378"/>
      <c r="Q6" s="378"/>
      <c r="R6" s="378"/>
      <c r="S6" s="378"/>
      <c r="T6" s="384"/>
      <c r="V6" s="124"/>
    </row>
    <row r="7" spans="1:23" ht="13.5" customHeight="1" thickBot="1">
      <c r="A7" s="396">
        <f>COUNTIF(F40:HQ40,"P")</f>
        <v>15</v>
      </c>
      <c r="B7" s="395"/>
      <c r="C7" s="393">
        <f>COUNTIF(F40:HQ40,"F")</f>
        <v>0</v>
      </c>
      <c r="D7" s="394"/>
      <c r="E7" s="395"/>
      <c r="F7" s="393">
        <f>SUM(O7,- A7,- C7)</f>
        <v>0</v>
      </c>
      <c r="G7" s="394"/>
      <c r="H7" s="394"/>
      <c r="I7" s="394"/>
      <c r="J7" s="394"/>
      <c r="K7" s="411"/>
      <c r="L7" s="263">
        <f>COUNTIF(E39:HQ39,"N")</f>
        <v>4</v>
      </c>
      <c r="M7" s="263">
        <f>COUNTIF(E39:HQ39,"A")</f>
        <v>11</v>
      </c>
      <c r="N7" s="263">
        <f>COUNTIF(E39:HQ39,"B")</f>
        <v>0</v>
      </c>
      <c r="O7" s="409">
        <f>COUNTA(E9:HT9)</f>
        <v>15</v>
      </c>
      <c r="P7" s="394"/>
      <c r="Q7" s="394"/>
      <c r="R7" s="394"/>
      <c r="S7" s="394"/>
      <c r="T7" s="410"/>
      <c r="U7" s="125"/>
    </row>
    <row r="8" spans="1:23" ht="10.8" thickBot="1"/>
    <row r="9" spans="1:23" ht="46.5" customHeight="1" thickTop="1" thickBot="1">
      <c r="A9" s="271"/>
      <c r="B9" s="272"/>
      <c r="C9" s="273"/>
      <c r="D9" s="274"/>
      <c r="E9" s="273"/>
      <c r="F9" s="275" t="str">
        <v>L01</v>
      </c>
      <c r="G9" s="275" t="str">
        <v>L02</v>
      </c>
      <c r="H9" s="275" t="str">
        <v>L03</v>
      </c>
      <c r="I9" s="275" t="str">
        <v>L04</v>
      </c>
      <c r="J9" s="275" t="str">
        <v>L05</v>
      </c>
      <c r="K9" s="275" t="str">
        <v>L06</v>
      </c>
      <c r="L9" s="275" t="str">
        <v>L07</v>
      </c>
      <c r="M9" s="275" t="str">
        <v>L08</v>
      </c>
      <c r="N9" s="275" t="str">
        <v>L09</v>
      </c>
      <c r="O9" s="275" t="str">
        <v>L10</v>
      </c>
      <c r="P9" s="275" t="str">
        <v>L11</v>
      </c>
      <c r="Q9" s="275" t="str">
        <v>L12</v>
      </c>
      <c r="R9" s="275" t="str">
        <v>L13</v>
      </c>
      <c r="S9" s="275" t="str">
        <v>L14</v>
      </c>
      <c r="T9" s="276" t="str">
        <v>L15</v>
      </c>
      <c r="U9" s="127"/>
      <c r="V9" s="128"/>
      <c r="W9" s="129"/>
    </row>
    <row r="10" spans="1:23" ht="13.5" customHeight="1">
      <c r="A10" s="277" t="s">
        <v>111</v>
      </c>
      <c r="B10" s="130" t="s">
        <v>112</v>
      </c>
      <c r="C10" s="131"/>
      <c r="D10" s="132"/>
      <c r="E10" s="133"/>
      <c r="F10" s="134"/>
      <c r="G10" s="134"/>
      <c r="H10" s="134"/>
      <c r="I10" s="134"/>
      <c r="J10" s="134"/>
      <c r="K10" s="134"/>
      <c r="L10" s="134"/>
      <c r="M10" s="134"/>
      <c r="N10" s="134"/>
      <c r="O10" s="134"/>
      <c r="P10" s="134"/>
      <c r="Q10" s="134"/>
      <c r="R10" s="134"/>
      <c r="S10" s="134"/>
      <c r="T10" s="278"/>
    </row>
    <row r="11" spans="1:23" ht="13.5" customHeight="1">
      <c r="A11" s="279"/>
      <c r="B11" s="130"/>
      <c r="C11" s="131"/>
      <c r="D11" s="132" t="str">
        <v>SQL/email mocked</v>
      </c>
      <c r="E11" s="135"/>
      <c r="F11" s="134"/>
      <c r="G11" s="134"/>
      <c r="H11" s="134"/>
      <c r="I11" s="134"/>
      <c r="J11" s="134"/>
      <c r="K11" s="134"/>
      <c r="L11" s="134"/>
      <c r="M11" s="134"/>
      <c r="N11" s="134"/>
      <c r="O11" s="134"/>
      <c r="P11" s="134"/>
      <c r="Q11" s="134"/>
      <c r="R11" s="134"/>
      <c r="S11" s="134"/>
      <c r="T11" s="278"/>
      <c r="V11" s="124"/>
    </row>
    <row r="12" spans="1:23" ht="13.5" customHeight="1">
      <c r="A12" s="279"/>
      <c r="B12" s="130"/>
      <c r="C12" s="131"/>
      <c r="D12" s="132" t="str">
        <v>test@example.com</v>
      </c>
      <c r="E12" s="135"/>
      <c r="F12" s="134"/>
      <c r="G12" s="134"/>
      <c r="H12" s="134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  <c r="T12" s="278"/>
    </row>
    <row r="13" spans="1:23" ht="13.5" customHeight="1">
      <c r="A13" s="279"/>
      <c r="B13" s="130"/>
      <c r="C13" s="131"/>
      <c r="D13" s="132" t="str">
        <v>Aa12345!</v>
      </c>
      <c r="E13" s="136"/>
      <c r="F13" s="134"/>
      <c r="G13" s="134"/>
      <c r="H13" s="134"/>
      <c r="I13" s="134"/>
      <c r="J13" s="134"/>
      <c r="K13" s="134"/>
      <c r="L13" s="134"/>
      <c r="M13" s="134"/>
      <c r="N13" s="134"/>
      <c r="O13" s="134"/>
      <c r="P13" s="134"/>
      <c r="Q13" s="134"/>
      <c r="R13" s="134"/>
      <c r="S13" s="134"/>
      <c r="T13" s="278"/>
    </row>
    <row r="14" spans="1:23" ht="13.5" customHeight="1">
      <c r="A14" s="279"/>
      <c r="B14" s="130" t="str">
        <v>Input / state</v>
      </c>
      <c r="C14" s="131"/>
      <c r="D14" s="132"/>
      <c r="E14" s="137"/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278"/>
    </row>
    <row r="15" spans="1:23" ht="13.5" customHeight="1">
      <c r="A15" s="279"/>
      <c r="B15" s="130"/>
      <c r="C15" s="131"/>
      <c r="D15" s="132" t="str">
        <v>email=""</v>
      </c>
      <c r="E15" s="137"/>
      <c r="F15" s="134" t="str">
        <v>O</v>
      </c>
      <c r="G15" s="134"/>
      <c r="H15" s="134"/>
      <c r="I15" s="134"/>
      <c r="J15" s="134"/>
      <c r="K15" s="134"/>
      <c r="L15" s="134"/>
      <c r="M15" s="134"/>
      <c r="N15" s="134"/>
      <c r="O15" s="134"/>
      <c r="P15" s="134"/>
      <c r="Q15" s="134"/>
      <c r="R15" s="134"/>
      <c r="S15" s="134"/>
      <c r="T15" s="278"/>
      <c r="U15"/>
      <c r="V15"/>
      <c r="W15" s="124"/>
    </row>
    <row r="16" spans="1:23" ht="13.5" customHeight="1">
      <c r="A16" s="279"/>
      <c r="B16" s="130"/>
      <c r="C16" s="131"/>
      <c r="D16" s="132" t="str">
        <v>password=""</v>
      </c>
      <c r="E16" s="137"/>
      <c r="F16" s="134"/>
      <c r="G16" s="134" t="str">
        <v>O</v>
      </c>
      <c r="H16" s="134"/>
      <c r="I16" s="134"/>
      <c r="J16" s="134"/>
      <c r="K16" s="134"/>
      <c r="L16" s="134"/>
      <c r="M16" s="134"/>
      <c r="N16" s="134"/>
      <c r="O16" s="134"/>
      <c r="P16" s="134"/>
      <c r="Q16" s="134"/>
      <c r="R16" s="134"/>
      <c r="S16" s="134"/>
      <c r="T16" s="278"/>
      <c r="U16"/>
      <c r="V16"/>
      <c r="W16"/>
    </row>
    <row r="17" spans="1:21" ht="13.5" customHeight="1">
      <c r="A17" s="279"/>
      <c r="B17" s="130"/>
      <c r="C17" s="131"/>
      <c r="D17" s="132" t="str">
        <v>user not found</v>
      </c>
      <c r="E17" s="137"/>
      <c r="F17" s="134"/>
      <c r="G17" s="134"/>
      <c r="H17" s="134" t="str">
        <v>O</v>
      </c>
      <c r="I17" s="134"/>
      <c r="J17" s="134"/>
      <c r="K17" s="134"/>
      <c r="L17" s="134"/>
      <c r="M17" s="134"/>
      <c r="N17" s="134"/>
      <c r="O17" s="134"/>
      <c r="P17" s="134"/>
      <c r="Q17" s="134"/>
      <c r="R17" s="134"/>
      <c r="S17" s="134"/>
      <c r="T17" s="278"/>
      <c r="U17" s="138"/>
      <c r="V17"/>
      <c r="W17"/>
    </row>
    <row r="18" spans="1:21" ht="13.5" customHeight="1">
      <c r="A18" s="279"/>
      <c r="B18" s="130"/>
      <c r="C18" s="131"/>
      <c r="D18" s="132" t="str">
        <v>status=LOCKED</v>
      </c>
      <c r="E18" s="137"/>
      <c r="F18" s="134"/>
      <c r="G18" s="134"/>
      <c r="H18" s="134"/>
      <c r="I18" s="134" t="str">
        <v>O</v>
      </c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278"/>
      <c r="U18" s="138"/>
      <c r="V18"/>
      <c r="W18"/>
    </row>
    <row r="19" spans="1:21" ht="13.5" customHeight="1">
      <c r="A19" s="279"/>
      <c r="B19" s="130"/>
      <c r="C19" s="131"/>
      <c r="D19" s="404" t="str">
        <v>SUSPENDED</v>
      </c>
      <c r="E19" s="404"/>
      <c r="F19" s="134"/>
      <c r="G19" s="134"/>
      <c r="H19" s="134"/>
      <c r="I19" s="134"/>
      <c r="J19" s="134" t="str">
        <v>O</v>
      </c>
      <c r="K19" s="134"/>
      <c r="L19" s="134"/>
      <c r="M19" s="134"/>
      <c r="N19" s="134"/>
      <c r="O19" s="134"/>
      <c r="P19" s="134"/>
      <c r="Q19" s="134"/>
      <c r="R19" s="134"/>
      <c r="S19" s="134"/>
      <c r="T19" s="278"/>
      <c r="U19"/>
      <c r="V19"/>
      <c r="W19"/>
    </row>
    <row r="20" spans="1:21" ht="13.5" customHeight="1">
      <c r="A20" s="279"/>
      <c r="B20" s="130"/>
      <c r="C20" s="131"/>
      <c r="D20" s="132" t="str">
        <v>wrong password</v>
      </c>
      <c r="E20" s="137"/>
      <c r="F20" s="134"/>
      <c r="G20" s="134"/>
      <c r="H20" s="134"/>
      <c r="I20" s="134"/>
      <c r="J20" s="134"/>
      <c r="K20" s="134" t="str">
        <v>O</v>
      </c>
      <c r="L20" s="134"/>
      <c r="M20" s="134"/>
      <c r="N20" s="134"/>
      <c r="O20" s="134"/>
      <c r="P20" s="134"/>
      <c r="Q20" s="134"/>
      <c r="R20" s="134"/>
      <c r="S20" s="134"/>
      <c r="T20" s="278"/>
      <c r="U20"/>
      <c r="V20"/>
      <c r="W20"/>
    </row>
    <row r="21" spans="1:21" ht="13.5" customHeight="1">
      <c r="A21" s="279"/>
      <c r="B21" s="130"/>
      <c r="C21" s="131"/>
      <c r="D21" s="132" t="str">
        <v>verified=false</v>
      </c>
      <c r="E21" s="137"/>
      <c r="F21" s="134"/>
      <c r="G21" s="134"/>
      <c r="H21" s="134"/>
      <c r="I21" s="134"/>
      <c r="J21" s="134"/>
      <c r="K21" s="134"/>
      <c r="L21" s="134" t="str">
        <v>O</v>
      </c>
      <c r="M21" s="134"/>
      <c r="N21" s="134"/>
      <c r="O21" s="134"/>
      <c r="P21" s="134"/>
      <c r="Q21" s="134"/>
      <c r="R21" s="134"/>
      <c r="S21" s="134"/>
      <c r="T21" s="278"/>
      <c r="U21"/>
      <c r="V21"/>
      <c r="W21"/>
    </row>
    <row r="22" spans="1:21" ht="13.5" customHeight="1">
      <c r="A22" s="279"/>
      <c r="B22" s="130"/>
      <c r="C22" s="131"/>
      <c r="D22" s="132" t="str">
        <v>FREELANCER hash</v>
      </c>
      <c r="E22" s="137"/>
      <c r="F22" s="134"/>
      <c r="G22" s="134"/>
      <c r="H22" s="134"/>
      <c r="I22" s="134"/>
      <c r="J22" s="134"/>
      <c r="K22" s="134"/>
      <c r="L22" s="134"/>
      <c r="M22" s="134" t="str">
        <v>O</v>
      </c>
      <c r="N22" s="134"/>
      <c r="O22" s="134"/>
      <c r="P22" s="134"/>
      <c r="Q22" s="134"/>
      <c r="R22" s="134"/>
      <c r="S22" s="134"/>
      <c r="T22" s="278"/>
      <c r="U22"/>
      <c r="V22"/>
      <c r="W22"/>
    </row>
    <row r="23" spans="1:21" ht="13.5" customHeight="1">
      <c r="A23" s="279"/>
      <c r="B23" s="130"/>
      <c r="C23" s="131"/>
      <c r="D23" s="132" t="str">
        <v>ADMIN plain pwd</v>
      </c>
      <c r="E23" s="137"/>
      <c r="F23" s="134"/>
      <c r="G23" s="134"/>
      <c r="H23" s="134"/>
      <c r="I23" s="134"/>
      <c r="J23" s="134"/>
      <c r="K23" s="134"/>
      <c r="L23" s="134"/>
      <c r="M23" s="134"/>
      <c r="N23" s="134" t="str">
        <v>O</v>
      </c>
      <c r="O23" s="134"/>
      <c r="P23" s="134"/>
      <c r="Q23" s="134"/>
      <c r="R23" s="134"/>
      <c r="S23" s="134"/>
      <c r="T23" s="278"/>
      <c r="U23"/>
      <c r="V23"/>
      <c r="W23"/>
    </row>
    <row r="24" spans="1:21" ht="13.5" customHeight="1">
      <c r="A24" s="279"/>
      <c r="B24" s="130"/>
      <c r="C24" s="131"/>
      <c r="D24" s="132" t="str">
        <v>ADMIN bcrypt</v>
      </c>
      <c r="E24" s="137"/>
      <c r="F24" s="134"/>
      <c r="G24" s="134"/>
      <c r="H24" s="134"/>
      <c r="I24" s="134"/>
      <c r="J24" s="134"/>
      <c r="K24" s="134"/>
      <c r="L24" s="134"/>
      <c r="M24" s="134"/>
      <c r="N24" s="134"/>
      <c r="O24" s="134" t="str">
        <v>O</v>
      </c>
      <c r="P24" s="134"/>
      <c r="Q24" s="134"/>
      <c r="R24" s="134"/>
      <c r="S24" s="134"/>
      <c r="T24" s="278"/>
      <c r="U24"/>
      <c r="V24"/>
      <c r="W24"/>
    </row>
    <row r="25" spans="1:21" ht="13.5" customHeight="1">
      <c r="A25" s="279"/>
      <c r="B25" s="130"/>
      <c r="C25" s="131"/>
      <c r="D25" s="132" t="str">
        <v>query1 rejects</v>
      </c>
      <c r="E25" s="137"/>
      <c r="F25" s="134"/>
      <c r="G25" s="134"/>
      <c r="H25" s="134"/>
      <c r="I25" s="134"/>
      <c r="J25" s="134"/>
      <c r="K25" s="134"/>
      <c r="L25" s="134"/>
      <c r="M25" s="134"/>
      <c r="N25" s="134"/>
      <c r="O25" s="134"/>
      <c r="P25" s="134" t="str">
        <v>O</v>
      </c>
      <c r="Q25" s="134"/>
      <c r="R25" s="134"/>
      <c r="S25" s="134"/>
      <c r="T25" s="278"/>
      <c r="U25"/>
      <c r="V25"/>
      <c r="W25"/>
    </row>
    <row r="26" spans="1:21" ht="13.5" customHeight="1">
      <c r="A26" s="279"/>
      <c r="B26" s="130"/>
      <c r="C26" s="131"/>
      <c r="D26" s="132" t="str">
        <v>query2 rejects</v>
      </c>
      <c r="E26" s="137"/>
      <c r="F26" s="134"/>
      <c r="G26" s="134"/>
      <c r="H26" s="134"/>
      <c r="I26" s="134"/>
      <c r="J26" s="134"/>
      <c r="K26" s="134"/>
      <c r="L26" s="134"/>
      <c r="M26" s="134"/>
      <c r="N26" s="134"/>
      <c r="O26" s="134"/>
      <c r="P26" s="134"/>
      <c r="Q26" s="134" t="str">
        <v>O</v>
      </c>
      <c r="R26" s="134"/>
      <c r="S26" s="134"/>
      <c r="T26" s="278"/>
      <c r="U26"/>
      <c r="V26"/>
      <c r="W26"/>
    </row>
    <row r="27" spans="1:21" ht="13.5" customHeight="1">
      <c r="A27" s="279"/>
      <c r="B27" s="130"/>
      <c r="C27" s="131"/>
      <c r="D27" s="132" t="str">
        <v>query3 rejects</v>
      </c>
      <c r="E27" s="137"/>
      <c r="F27" s="134"/>
      <c r="G27" s="134"/>
      <c r="H27" s="134"/>
      <c r="I27" s="134"/>
      <c r="J27" s="134"/>
      <c r="K27" s="134"/>
      <c r="L27" s="134"/>
      <c r="M27" s="134"/>
      <c r="N27" s="134"/>
      <c r="O27" s="134"/>
      <c r="P27" s="134"/>
      <c r="Q27" s="134"/>
      <c r="R27" s="134" t="str">
        <v>O</v>
      </c>
      <c r="S27" s="134"/>
      <c r="T27" s="278"/>
      <c r="U27"/>
      <c r="V27"/>
      <c r="W27"/>
    </row>
    <row r="28" spans="1:21" ht="13.5" customHeight="1">
      <c r="A28" s="279"/>
      <c r="B28" s="130"/>
      <c r="C28" s="131"/>
      <c r="D28" s="132" t="str">
        <v>JWT sign throws</v>
      </c>
      <c r="E28" s="137"/>
      <c r="F28" s="134"/>
      <c r="G28" s="134"/>
      <c r="H28" s="134"/>
      <c r="I28" s="134"/>
      <c r="J28" s="134"/>
      <c r="K28" s="134"/>
      <c r="L28" s="134"/>
      <c r="M28" s="134"/>
      <c r="N28" s="134"/>
      <c r="O28" s="134"/>
      <c r="P28" s="134"/>
      <c r="Q28" s="134"/>
      <c r="R28" s="134"/>
      <c r="S28" s="134" t="str">
        <v>O</v>
      </c>
      <c r="T28" s="278"/>
      <c r="U28"/>
      <c r="V28"/>
      <c r="W28"/>
    </row>
    <row r="29" spans="1:21" ht="13.5" customHeight="1">
      <c r="A29" s="279"/>
      <c r="B29" s="130"/>
      <c r="C29" s="131"/>
      <c r="D29" s="132" t="str">
        <v>OTP save rejects</v>
      </c>
      <c r="E29" s="137"/>
      <c r="F29" s="134"/>
      <c r="G29" s="134"/>
      <c r="H29" s="134"/>
      <c r="I29" s="134"/>
      <c r="J29" s="134"/>
      <c r="K29" s="134"/>
      <c r="L29" s="134"/>
      <c r="M29" s="134"/>
      <c r="N29" s="134"/>
      <c r="O29" s="134"/>
      <c r="P29" s="134"/>
      <c r="Q29" s="134"/>
      <c r="R29" s="134"/>
      <c r="S29" s="134"/>
      <c r="T29" s="278" t="str">
        <v>O</v>
      </c>
      <c r="U29"/>
      <c r="V29"/>
      <c r="W29"/>
    </row>
    <row r="30" spans="1:21" ht="13.5" customHeight="1" thickBot="1">
      <c r="A30" s="279"/>
      <c r="B30" s="139"/>
      <c r="C30" s="140"/>
      <c r="D30" s="141"/>
      <c r="E30" s="142"/>
      <c r="F30" s="143"/>
      <c r="G30" s="143"/>
      <c r="H30" s="143"/>
      <c r="I30" s="143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280"/>
      <c r="U30"/>
      <c r="V30"/>
      <c r="W30"/>
    </row>
    <row r="31" spans="1:21" ht="13.5" customHeight="1" thickTop="1">
      <c r="A31" s="281" t="s">
        <v>115</v>
      </c>
      <c r="B31" s="144" t="s">
        <v>116</v>
      </c>
      <c r="C31" s="145"/>
      <c r="D31" s="146"/>
      <c r="E31" s="147"/>
      <c r="F31" s="148"/>
      <c r="G31" s="148"/>
      <c r="H31" s="148"/>
      <c r="I31" s="148"/>
      <c r="J31" s="148"/>
      <c r="K31" s="148"/>
      <c r="L31" s="148"/>
      <c r="M31" s="148"/>
      <c r="N31" s="148"/>
      <c r="O31" s="148"/>
      <c r="P31" s="148"/>
      <c r="Q31" s="148"/>
      <c r="R31" s="148"/>
      <c r="S31" s="148"/>
      <c r="T31" s="282"/>
    </row>
    <row r="32" spans="1:21" ht="13.5" customHeight="1">
      <c r="A32" s="283"/>
      <c r="B32" s="149"/>
      <c r="C32" s="150"/>
      <c r="D32" s="151" t="str">
        <v>HTTP code (C5)</v>
      </c>
      <c r="E32" s="152"/>
      <c r="F32" s="134" t="n">
        <v>3</v>
      </c>
      <c r="G32" s="134" t="n">
        <v>3</v>
      </c>
      <c r="H32" s="134" t="n">
        <v>3</v>
      </c>
      <c r="I32" s="134" t="n">
        <v>5</v>
      </c>
      <c r="J32" s="134" t="n">
        <v>5</v>
      </c>
      <c r="K32" s="134" t="n">
        <v>3</v>
      </c>
      <c r="L32" s="134" t="n">
        <v>4</v>
      </c>
      <c r="M32" s="134" t="n">
        <v>1</v>
      </c>
      <c r="N32" s="134" t="n">
        <v>1</v>
      </c>
      <c r="O32" s="134" t="n">
        <v>1</v>
      </c>
      <c r="P32" s="134" t="n">
        <v>7</v>
      </c>
      <c r="Q32" s="134" t="n">
        <v>7</v>
      </c>
      <c r="R32" s="134" t="n">
        <v>7</v>
      </c>
      <c r="S32" s="134" t="n">
        <v>7</v>
      </c>
      <c r="T32" s="278" t="n">
        <v>7</v>
      </c>
      <c r="U32"/>
      <c r="V32"/>
      <c r="W32"/>
    </row>
    <row r="33" spans="1:20" ht="13.5" customHeight="1">
      <c r="A33" s="283"/>
      <c r="B33" s="149"/>
      <c r="C33" s="153"/>
      <c r="D33" s="151" t="str">
        <v>Body checked</v>
      </c>
      <c r="E33" s="154"/>
      <c r="F33" s="134" t="str">
        <v>O</v>
      </c>
      <c r="G33" s="134" t="str">
        <v>O</v>
      </c>
      <c r="H33" s="134" t="str">
        <v>O</v>
      </c>
      <c r="I33" s="134" t="str">
        <v>O</v>
      </c>
      <c r="J33" s="134" t="str">
        <v>O</v>
      </c>
      <c r="K33" s="134" t="str">
        <v>O</v>
      </c>
      <c r="L33" s="134" t="str">
        <v>O</v>
      </c>
      <c r="M33" s="134" t="str">
        <v>O</v>
      </c>
      <c r="N33" s="134" t="str">
        <v>O</v>
      </c>
      <c r="O33" s="134" t="str">
        <v>O</v>
      </c>
      <c r="P33" s="134" t="str">
        <v>O</v>
      </c>
      <c r="Q33" s="134" t="str">
        <v>O</v>
      </c>
      <c r="R33" s="134" t="str">
        <v>O</v>
      </c>
      <c r="S33" s="134" t="str">
        <v>O</v>
      </c>
      <c r="T33" s="278" t="str">
        <v>O</v>
      </c>
      <c r="U33"/>
      <c r="V33"/>
      <c r="W33"/>
    </row>
    <row r="34" spans="1:20" ht="13.5" customHeight="1">
      <c r="A34" s="283"/>
      <c r="B34" s="149" t="s">
        <v>117</v>
      </c>
      <c r="C34" s="153"/>
      <c r="D34" s="151"/>
      <c r="E34" s="154"/>
      <c r="F34" s="134"/>
      <c r="G34" s="134"/>
      <c r="H34" s="134"/>
      <c r="I34" s="134"/>
      <c r="J34" s="134"/>
      <c r="K34" s="134"/>
      <c r="L34" s="134"/>
      <c r="M34" s="134"/>
      <c r="N34" s="134"/>
      <c r="O34" s="134"/>
      <c r="P34" s="134"/>
      <c r="Q34" s="134"/>
      <c r="R34" s="134"/>
      <c r="S34" s="134"/>
      <c r="T34" s="278"/>
    </row>
    <row r="35" spans="1:20" ht="13.5" customHeight="1">
      <c r="A35" s="283"/>
      <c r="B35" s="149"/>
      <c r="C35" s="153"/>
      <c r="D35" s="151" t="str">
        <v>None</v>
      </c>
      <c r="E35" s="154"/>
      <c r="F35" s="134" t="str">
        <v>O</v>
      </c>
      <c r="G35" s="134" t="str">
        <v>O</v>
      </c>
      <c r="H35" s="134" t="str">
        <v>O</v>
      </c>
      <c r="I35" s="134" t="str">
        <v>O</v>
      </c>
      <c r="J35" s="134" t="str">
        <v>O</v>
      </c>
      <c r="K35" s="134" t="str">
        <v>O</v>
      </c>
      <c r="L35" s="134" t="str">
        <v>O</v>
      </c>
      <c r="M35" s="134" t="str">
        <v>O</v>
      </c>
      <c r="N35" s="134" t="str">
        <v>O</v>
      </c>
      <c r="O35" s="134" t="str">
        <v>O</v>
      </c>
      <c r="P35" s="134" t="str">
        <v>O</v>
      </c>
      <c r="Q35" s="134" t="str">
        <v>O</v>
      </c>
      <c r="R35" s="134" t="str">
        <v>O</v>
      </c>
      <c r="S35" s="134" t="str">
        <v>O</v>
      </c>
      <c r="T35" s="278" t="str">
        <v>O</v>
      </c>
      <c r="U35"/>
      <c r="V35"/>
      <c r="W35"/>
    </row>
    <row r="36" spans="1:20" ht="13.5" customHeight="1">
      <c r="A36" s="283"/>
      <c r="B36" s="149" t="s">
        <v>118</v>
      </c>
      <c r="C36" s="153"/>
      <c r="D36" s="151"/>
      <c r="E36" s="154"/>
      <c r="F36" s="134"/>
      <c r="G36" s="134"/>
      <c r="H36" s="134"/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278"/>
    </row>
    <row r="37" spans="1:20" ht="13.5" customHeight="1">
      <c r="A37" s="283"/>
      <c r="B37" s="149"/>
      <c r="C37" s="153"/>
      <c r="D37" s="151" t="str">
        <v>Not asserted</v>
      </c>
      <c r="E37" s="154"/>
      <c r="F37" s="134"/>
      <c r="G37" s="134"/>
      <c r="H37" s="134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278"/>
      <c r="U37"/>
      <c r="V37"/>
      <c r="W37"/>
    </row>
    <row r="38" spans="1:20" ht="13.5" customHeight="1" thickBot="1">
      <c r="A38" s="283"/>
      <c r="B38" s="264"/>
      <c r="C38" s="265"/>
      <c r="D38" s="266" t="str">
        <v>Not asserted</v>
      </c>
      <c r="E38" s="267"/>
      <c r="F38" s="268"/>
      <c r="G38" s="268"/>
      <c r="H38" s="268"/>
      <c r="I38" s="268"/>
      <c r="J38" s="268"/>
      <c r="K38" s="268"/>
      <c r="L38" s="268"/>
      <c r="M38" s="268"/>
      <c r="N38" s="268"/>
      <c r="O38" s="268"/>
      <c r="P38" s="268"/>
      <c r="Q38" s="268"/>
      <c r="R38" s="268"/>
      <c r="S38" s="268"/>
      <c r="T38" s="284"/>
      <c r="U38"/>
      <c r="V38"/>
      <c r="W38"/>
    </row>
    <row r="39" spans="1:20" ht="13.5" customHeight="1" thickTop="1">
      <c r="A39" s="281" t="s">
        <v>68</v>
      </c>
      <c r="B39" s="401" t="s">
        <v>69</v>
      </c>
      <c r="C39" s="401"/>
      <c r="D39" s="401"/>
      <c r="E39" s="269"/>
      <c r="F39" s="270" t="str">
        <v>A</v>
      </c>
      <c r="G39" s="270" t="str">
        <v>A</v>
      </c>
      <c r="H39" s="270" t="str">
        <v>A</v>
      </c>
      <c r="I39" s="270" t="str">
        <v>A</v>
      </c>
      <c r="J39" s="270" t="str">
        <v>A</v>
      </c>
      <c r="K39" s="270" t="str">
        <v>A</v>
      </c>
      <c r="L39" s="270" t="str">
        <v>N</v>
      </c>
      <c r="M39" s="270" t="str">
        <v>N</v>
      </c>
      <c r="N39" s="270" t="str">
        <v>N</v>
      </c>
      <c r="O39" s="270" t="str">
        <v>N</v>
      </c>
      <c r="P39" s="270" t="str">
        <v>A</v>
      </c>
      <c r="Q39" s="270" t="str">
        <v>A</v>
      </c>
      <c r="R39" s="270" t="str">
        <v>A</v>
      </c>
      <c r="S39" s="270" t="str">
        <v>A</v>
      </c>
      <c r="T39" s="285" t="str">
        <v>A</v>
      </c>
      <c r="U39"/>
      <c r="V39"/>
      <c r="W39"/>
    </row>
    <row r="40" spans="1:20" ht="13.5" customHeight="1">
      <c r="A40" s="286"/>
      <c r="B40" s="391" t="s">
        <v>73</v>
      </c>
      <c r="C40" s="391"/>
      <c r="D40" s="391"/>
      <c r="E40" s="156"/>
      <c r="F40" s="155" t="str">
        <v>P</v>
      </c>
      <c r="G40" s="155" t="str">
        <v>P</v>
      </c>
      <c r="H40" s="155" t="str">
        <v>P</v>
      </c>
      <c r="I40" s="155" t="str">
        <v>P</v>
      </c>
      <c r="J40" s="155" t="str">
        <v>P</v>
      </c>
      <c r="K40" s="155" t="str">
        <v>P</v>
      </c>
      <c r="L40" s="155" t="str">
        <v>P</v>
      </c>
      <c r="M40" s="155" t="str">
        <v>P</v>
      </c>
      <c r="N40" s="155" t="str">
        <v>P</v>
      </c>
      <c r="O40" s="155" t="str">
        <v>P</v>
      </c>
      <c r="P40" s="155" t="str">
        <v>P</v>
      </c>
      <c r="Q40" s="155" t="str">
        <v>P</v>
      </c>
      <c r="R40" s="155" t="str">
        <v>P</v>
      </c>
      <c r="S40" s="155" t="str">
        <v>P</v>
      </c>
      <c r="T40" s="287" t="str">
        <v>P</v>
      </c>
      <c r="U40"/>
      <c r="V40"/>
      <c r="W40"/>
    </row>
    <row r="41" spans="1:20" ht="13.5" customHeight="1">
      <c r="A41" s="286"/>
      <c r="B41" s="392" t="s">
        <v>76</v>
      </c>
      <c r="C41" s="392"/>
      <c r="D41" s="392"/>
      <c r="E41" s="157"/>
      <c r="F41" s="158" t="str">
        <v>7/10</v>
      </c>
      <c r="G41" s="158" t="str">
        <v>7/10</v>
      </c>
      <c r="H41" s="158" t="str">
        <v>7/10</v>
      </c>
      <c r="I41" s="158" t="str">
        <v>7/10</v>
      </c>
      <c r="J41" s="158" t="str">
        <v>7/10</v>
      </c>
      <c r="K41" s="158" t="str">
        <v>7/10</v>
      </c>
      <c r="L41" s="158" t="str">
        <v>7/10</v>
      </c>
      <c r="M41" s="158" t="str">
        <v>7/10</v>
      </c>
      <c r="N41" s="158" t="str">
        <v>7/10</v>
      </c>
      <c r="O41" s="158" t="str">
        <v>7/10</v>
      </c>
      <c r="P41" s="158" t="str">
        <v>7/10</v>
      </c>
      <c r="Q41" s="158" t="str">
        <v>7/10</v>
      </c>
      <c r="R41" s="158" t="str">
        <v>7/10</v>
      </c>
      <c r="S41" s="158" t="str">
        <v>7/10</v>
      </c>
      <c r="T41" s="288" t="str">
        <v>7/10</v>
      </c>
      <c r="U41"/>
      <c r="V41"/>
      <c r="W41"/>
    </row>
    <row r="42" spans="1:20" ht="73.2" thickBot="1">
      <c r="A42" s="289"/>
      <c r="B42" s="400" t="s">
        <v>77</v>
      </c>
      <c r="C42" s="400"/>
      <c r="D42" s="400"/>
      <c r="E42" s="290"/>
      <c r="F42" s="291"/>
      <c r="G42" s="291"/>
      <c r="H42" s="291"/>
      <c r="I42" s="291"/>
      <c r="J42" s="291"/>
      <c r="K42" s="291"/>
      <c r="L42" s="291"/>
      <c r="M42" s="291"/>
      <c r="N42" s="291"/>
      <c r="O42" s="291"/>
      <c r="P42" s="291"/>
      <c r="Q42" s="291"/>
      <c r="R42" s="291"/>
      <c r="S42" s="291"/>
      <c r="T42" s="292"/>
      <c r="U42"/>
      <c r="V42"/>
      <c r="W42"/>
    </row>
    <row r="43" spans="1:20" ht="10.8" thickTop="1">
      <c r="A43" s="126"/>
      <c r="B43" s="122"/>
      <c r="C43" s="123"/>
      <c r="D43" s="122"/>
    </row>
  </sheetData>
  <mergeCells count="28">
    <mergeCell ref="B42:D42"/>
    <mergeCell ref="B39:D39"/>
    <mergeCell ref="C3:E3"/>
    <mergeCell ref="D19:E19"/>
    <mergeCell ref="A6:B6"/>
    <mergeCell ref="A5:B5"/>
    <mergeCell ref="C5:T5"/>
    <mergeCell ref="L6:N6"/>
    <mergeCell ref="O7:T7"/>
    <mergeCell ref="F7:K7"/>
    <mergeCell ref="A2:B2"/>
    <mergeCell ref="F2:K2"/>
    <mergeCell ref="B40:D40"/>
    <mergeCell ref="B41:D41"/>
    <mergeCell ref="C7:E7"/>
    <mergeCell ref="A7:B7"/>
    <mergeCell ref="C6:E6"/>
    <mergeCell ref="F3:K3"/>
    <mergeCell ref="A3:B3"/>
    <mergeCell ref="A4:B4"/>
    <mergeCell ref="L2:T2"/>
    <mergeCell ref="C2:D2"/>
    <mergeCell ref="F6:K6"/>
    <mergeCell ref="F4:K4"/>
    <mergeCell ref="O6:T6"/>
    <mergeCell ref="L3:N3"/>
    <mergeCell ref="L4:T4"/>
    <mergeCell ref="C4:D4"/>
  </mergeCells>
  <phoneticPr fontId="34" type="noConversion"/>
  <dataValidations disablePrompts="1" count="3">
    <dataValidation type="list" allowBlank="1" showInputMessage="1" showErrorMessage="1" sqref="F39:T39" xr:uid="{3383B040-B3E3-47D2-87C2-619440AD4554}">
      <formula1>"N,A,B, "</formula1>
    </dataValidation>
    <dataValidation type="list" allowBlank="1" showInputMessage="1" showErrorMessage="1" sqref="F40:T40" xr:uid="{FEC0D0F2-7336-404F-8E9C-F909A41A0776}">
      <formula1>"P,F, "</formula1>
    </dataValidation>
    <dataValidation type="list" allowBlank="1" showInputMessage="1" showErrorMessage="1" sqref="F10:T38" xr:uid="{9E9613EE-4E5D-4F85-B1A0-9617543AC483}">
      <formula1>"O, "</formula1>
    </dataValidation>
  </dataValidations>
  <pageMargins left="0.75" right="0.75" top="0.75" bottom="0.75" header="0.5" footer="0.5"/>
  <pageSetup paperSize="9" orientation="portrait" horizontalDpi="300" verticalDpi="300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9BAF-1AF4-4754-A5E8-8040F294A752}">
  <dimension ref="A1:W49"/>
  <sheetViews>
    <sheetView topLeftCell="A25" workbookViewId="0">
      <selection activeCell="F9" sqref="F9"/>
    </sheetView>
  </sheetViews>
  <sheetFormatPr defaultColWidth="9" defaultRowHeight="13.5" customHeight="1"/>
  <cols>
    <col min="1" max="1" width="8.109375" style="85" customWidth="1"/>
    <col min="2" max="2" width="13.33203125" style="89" customWidth="1"/>
    <col min="3" max="3" width="10.77734375" style="85" customWidth="1"/>
    <col min="4" max="4" width="11.33203125" style="86" customWidth="1"/>
    <col min="5" max="5" width="1.77734375" style="85" hidden="1" customWidth="1"/>
    <col min="6" max="11" width="2.77734375" style="85" bestFit="1" customWidth="1"/>
    <col min="12" max="19" width="2.77734375" style="85" customWidth="1"/>
    <col min="20" max="20" width="2.77734375" style="85" bestFit="1" customWidth="1"/>
    <col min="21" max="21" width="2.77734375" style="85" customWidth="1"/>
    <col min="22" max="16384" width="9" style="85"/>
  </cols>
  <sheetData>
    <row r="1" spans="1:23" ht="13.5" customHeight="1" thickBot="1">
      <c r="A1" s="83"/>
      <c r="B1" s="84"/>
    </row>
    <row r="2" spans="1:23" ht="13.5" customHeight="1">
      <c r="A2" s="319" t="s">
        <v>104</v>
      </c>
      <c r="B2" s="320"/>
      <c r="C2" s="321" t="str">
        <f>Functions!E11</f>
        <v>AUTH01</v>
      </c>
      <c r="D2" s="322"/>
      <c r="E2" s="323"/>
      <c r="F2" s="324" t="s">
        <v>23</v>
      </c>
      <c r="G2" s="325"/>
      <c r="H2" s="325"/>
      <c r="I2" s="325"/>
      <c r="J2" s="325"/>
      <c r="K2" s="325"/>
      <c r="L2" s="352" t="str">
        <f>Functions!D11</f>
        <v>register</v>
      </c>
      <c r="M2" s="353"/>
      <c r="N2" s="353"/>
      <c r="O2" s="353"/>
      <c r="P2" s="353"/>
      <c r="Q2" s="353"/>
      <c r="R2" s="353"/>
      <c r="S2" s="353"/>
      <c r="T2" s="354"/>
      <c r="V2" s="87"/>
    </row>
    <row r="3" spans="1:23" ht="13.5" customHeight="1">
      <c r="A3" s="332" t="s">
        <v>105</v>
      </c>
      <c r="B3" s="333"/>
      <c r="C3" s="339" t="s">
        <v>45</v>
      </c>
      <c r="D3" s="340"/>
      <c r="E3" s="341"/>
      <c r="F3" s="357" t="s">
        <v>106</v>
      </c>
      <c r="G3" s="358"/>
      <c r="H3" s="358"/>
      <c r="I3" s="358"/>
      <c r="J3" s="358"/>
      <c r="K3" s="359"/>
      <c r="L3" s="340"/>
      <c r="M3" s="340"/>
      <c r="N3" s="340"/>
      <c r="O3" s="192"/>
      <c r="P3" s="192"/>
      <c r="Q3" s="192"/>
      <c r="R3" s="192"/>
      <c r="S3" s="192"/>
      <c r="T3" s="193"/>
    </row>
    <row r="4" spans="1:23" ht="13.5" customHeight="1">
      <c r="A4" s="332" t="s">
        <v>107</v>
      </c>
      <c r="B4" s="333"/>
      <c r="C4" s="334">
        <v>100</v>
      </c>
      <c r="D4" s="335"/>
      <c r="E4" s="206"/>
      <c r="F4" s="357" t="s">
        <v>108</v>
      </c>
      <c r="G4" s="358"/>
      <c r="H4" s="358"/>
      <c r="I4" s="358"/>
      <c r="J4" s="358"/>
      <c r="K4" s="359"/>
      <c r="L4" s="360" t="str">
        <f xml:space="preserve"> IF(Functions!E6&lt;&gt;"N/A",SUM(C4*Functions!E6/1000,- O7),"N/A")</f>
        <v>N/A</v>
      </c>
      <c r="M4" s="361"/>
      <c r="N4" s="361"/>
      <c r="O4" s="361"/>
      <c r="P4" s="361"/>
      <c r="Q4" s="361"/>
      <c r="R4" s="361"/>
      <c r="S4" s="361"/>
      <c r="T4" s="362"/>
      <c r="V4" s="87"/>
    </row>
    <row r="5" spans="1:23" ht="13.5" customHeight="1">
      <c r="A5" s="332" t="s">
        <v>109</v>
      </c>
      <c r="B5" s="333"/>
      <c r="C5" s="345" t="s">
        <v>103</v>
      </c>
      <c r="D5" s="345"/>
      <c r="E5" s="345"/>
      <c r="F5" s="346"/>
      <c r="G5" s="346"/>
      <c r="H5" s="346"/>
      <c r="I5" s="346"/>
      <c r="J5" s="346"/>
      <c r="K5" s="346"/>
      <c r="L5" s="345"/>
      <c r="M5" s="345"/>
      <c r="N5" s="345"/>
      <c r="O5" s="345"/>
      <c r="P5" s="345"/>
      <c r="Q5" s="345"/>
      <c r="R5" s="345"/>
      <c r="S5" s="345"/>
      <c r="T5" s="345"/>
    </row>
    <row r="6" spans="1:23" ht="13.5" customHeight="1">
      <c r="A6" s="343" t="s">
        <v>34</v>
      </c>
      <c r="B6" s="344"/>
      <c r="C6" s="355" t="s">
        <v>35</v>
      </c>
      <c r="D6" s="347"/>
      <c r="E6" s="356"/>
      <c r="F6" s="355" t="s">
        <v>36</v>
      </c>
      <c r="G6" s="347"/>
      <c r="H6" s="347"/>
      <c r="I6" s="347"/>
      <c r="J6" s="347"/>
      <c r="K6" s="363"/>
      <c r="L6" s="347" t="s">
        <v>110</v>
      </c>
      <c r="M6" s="347"/>
      <c r="N6" s="347"/>
      <c r="O6" s="350" t="s">
        <v>37</v>
      </c>
      <c r="P6" s="347"/>
      <c r="Q6" s="347"/>
      <c r="R6" s="347"/>
      <c r="S6" s="347"/>
      <c r="T6" s="351"/>
      <c r="V6" s="87"/>
    </row>
    <row r="7" spans="1:23" ht="13.5" customHeight="1" thickBot="1">
      <c r="A7" s="331">
        <f>COUNTIF(F47:HQ47,"P")</f>
        <v>0</v>
      </c>
      <c r="B7" s="330"/>
      <c r="C7" s="327">
        <f>COUNTIF(F47:HQ47,"F")</f>
        <v>0</v>
      </c>
      <c r="D7" s="328"/>
      <c r="E7" s="330"/>
      <c r="F7" s="327">
        <f>SUM(O7,- A7,- C7)</f>
        <v>15</v>
      </c>
      <c r="G7" s="328"/>
      <c r="H7" s="328"/>
      <c r="I7" s="328"/>
      <c r="J7" s="328"/>
      <c r="K7" s="329"/>
      <c r="L7" s="194">
        <f>COUNTIF(E46:HQ46,"N")</f>
        <v>0</v>
      </c>
      <c r="M7" s="194">
        <f>COUNTIF(E46:HQ46,"A")</f>
        <v>0</v>
      </c>
      <c r="N7" s="194">
        <f>COUNTIF(E46:HQ46,"B")</f>
        <v>0</v>
      </c>
      <c r="O7" s="348">
        <f>COUNTA(E9:HT9)</f>
        <v>15</v>
      </c>
      <c r="P7" s="328"/>
      <c r="Q7" s="328"/>
      <c r="R7" s="328"/>
      <c r="S7" s="328"/>
      <c r="T7" s="349"/>
      <c r="U7" s="88"/>
    </row>
    <row r="8" spans="1:23" ht="10.8" thickBot="1"/>
    <row r="9" spans="1:23" ht="45" customHeight="1" thickTop="1" thickBot="1">
      <c r="A9" s="241"/>
      <c r="B9" s="215"/>
      <c r="C9" s="216"/>
      <c r="D9" s="217"/>
      <c r="E9" s="216"/>
      <c r="F9" s="218" t="s">
        <v>46</v>
      </c>
      <c r="G9" s="218" t="s">
        <v>47</v>
      </c>
      <c r="H9" s="218" t="s">
        <v>47</v>
      </c>
      <c r="I9" s="218" t="s">
        <v>47</v>
      </c>
      <c r="J9" s="218" t="s">
        <v>47</v>
      </c>
      <c r="K9" s="218" t="s">
        <v>47</v>
      </c>
      <c r="L9" s="218" t="s">
        <v>52</v>
      </c>
      <c r="M9" s="218" t="s">
        <v>53</v>
      </c>
      <c r="N9" s="218" t="s">
        <v>54</v>
      </c>
      <c r="O9" s="218" t="s">
        <v>55</v>
      </c>
      <c r="P9" s="218" t="s">
        <v>56</v>
      </c>
      <c r="Q9" s="218" t="s">
        <v>57</v>
      </c>
      <c r="R9" s="218" t="s">
        <v>58</v>
      </c>
      <c r="S9" s="218" t="s">
        <v>59</v>
      </c>
      <c r="T9" s="219" t="s">
        <v>60</v>
      </c>
      <c r="U9" s="90"/>
      <c r="V9" s="91"/>
      <c r="W9" s="92"/>
    </row>
    <row r="10" spans="1:23" ht="13.5" customHeight="1">
      <c r="A10" s="235" t="s">
        <v>111</v>
      </c>
      <c r="B10" s="93" t="s">
        <v>88</v>
      </c>
      <c r="C10" s="94"/>
      <c r="D10" s="95"/>
      <c r="E10" s="96"/>
      <c r="F10" s="97"/>
      <c r="G10" s="97"/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247"/>
    </row>
    <row r="11" spans="1:23" ht="13.5" customHeight="1">
      <c r="A11" s="221"/>
      <c r="B11" s="93"/>
      <c r="C11" s="94"/>
      <c r="D11" s="95"/>
      <c r="E11" s="98"/>
      <c r="F11" s="97"/>
      <c r="G11" s="97"/>
      <c r="H11" s="97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247"/>
      <c r="V11" s="87"/>
    </row>
    <row r="12" spans="1:23" ht="13.5" customHeight="1">
      <c r="A12" s="221"/>
      <c r="B12" s="93"/>
      <c r="C12" s="94"/>
      <c r="D12" s="95"/>
      <c r="E12" s="98"/>
      <c r="F12" s="97"/>
      <c r="G12" s="97"/>
      <c r="H12" s="97"/>
      <c r="I12" s="97"/>
      <c r="J12" s="97"/>
      <c r="K12" s="97"/>
      <c r="L12" s="97"/>
      <c r="M12" s="97"/>
      <c r="N12" s="97"/>
      <c r="O12" s="97"/>
      <c r="P12" s="97"/>
      <c r="Q12" s="97"/>
      <c r="R12" s="97"/>
      <c r="S12" s="97"/>
      <c r="T12" s="247"/>
    </row>
    <row r="13" spans="1:23" ht="13.5" customHeight="1">
      <c r="A13" s="221"/>
      <c r="B13" s="93"/>
      <c r="C13" s="94"/>
      <c r="D13" s="95"/>
      <c r="E13" s="99"/>
      <c r="F13" s="97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7"/>
      <c r="S13" s="97"/>
      <c r="T13" s="247"/>
    </row>
    <row r="14" spans="1:23" ht="13.5" customHeight="1">
      <c r="A14" s="221"/>
      <c r="B14" s="93" t="s">
        <v>140</v>
      </c>
      <c r="C14" s="94"/>
      <c r="D14" s="95"/>
      <c r="E14" s="100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247"/>
    </row>
    <row r="15" spans="1:23" ht="13.5" customHeight="1">
      <c r="A15" s="221"/>
      <c r="B15" s="93"/>
      <c r="C15" s="94"/>
      <c r="D15" s="95">
        <v>-2</v>
      </c>
      <c r="E15" s="100"/>
      <c r="F15" s="97" t="s">
        <v>146</v>
      </c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7"/>
      <c r="S15" s="97"/>
      <c r="T15" s="247"/>
    </row>
    <row r="16" spans="1:23" ht="13.5" customHeight="1">
      <c r="A16" s="221"/>
      <c r="B16" s="93"/>
      <c r="C16" s="94"/>
      <c r="D16" s="95">
        <v>-1</v>
      </c>
      <c r="E16" s="100"/>
      <c r="F16" s="97"/>
      <c r="G16" s="97"/>
      <c r="H16" s="97"/>
      <c r="I16" s="97"/>
      <c r="J16" s="97"/>
      <c r="K16" s="97"/>
      <c r="L16" s="97" t="s">
        <v>146</v>
      </c>
      <c r="M16" s="97"/>
      <c r="N16" s="97"/>
      <c r="O16" s="97"/>
      <c r="P16" s="97"/>
      <c r="Q16" s="97"/>
      <c r="R16" s="97"/>
      <c r="S16" s="97"/>
      <c r="T16" s="247"/>
    </row>
    <row r="17" spans="1:21" ht="13.5" customHeight="1">
      <c r="A17" s="221"/>
      <c r="B17" s="93"/>
      <c r="C17" s="94"/>
      <c r="D17" s="95">
        <v>0</v>
      </c>
      <c r="E17" s="100"/>
      <c r="F17" s="97"/>
      <c r="G17" s="97" t="s">
        <v>146</v>
      </c>
      <c r="H17" s="97" t="s">
        <v>146</v>
      </c>
      <c r="I17" s="97" t="s">
        <v>146</v>
      </c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247"/>
      <c r="U17" s="101"/>
    </row>
    <row r="18" spans="1:21" ht="13.5" customHeight="1">
      <c r="A18" s="221"/>
      <c r="B18" s="93"/>
      <c r="C18" s="94"/>
      <c r="D18" s="95">
        <v>1</v>
      </c>
      <c r="E18" s="100"/>
      <c r="F18" s="97"/>
      <c r="G18" s="97"/>
      <c r="H18" s="97"/>
      <c r="I18" s="97"/>
      <c r="J18" s="97" t="s">
        <v>146</v>
      </c>
      <c r="K18" s="97" t="s">
        <v>146</v>
      </c>
      <c r="L18" s="97"/>
      <c r="M18" s="97"/>
      <c r="N18" s="97"/>
      <c r="O18" s="97"/>
      <c r="P18" s="97"/>
      <c r="Q18" s="97"/>
      <c r="R18" s="97"/>
      <c r="S18" s="97"/>
      <c r="T18" s="247"/>
      <c r="U18" s="101"/>
    </row>
    <row r="19" spans="1:21" ht="13.5" customHeight="1">
      <c r="A19" s="221"/>
      <c r="B19" s="93" t="s">
        <v>141</v>
      </c>
      <c r="C19" s="94"/>
      <c r="D19" s="95"/>
      <c r="E19" s="100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247"/>
      <c r="U19" s="101"/>
    </row>
    <row r="20" spans="1:21" ht="13.5" customHeight="1">
      <c r="A20" s="221"/>
      <c r="B20" s="93"/>
      <c r="C20" s="94"/>
      <c r="D20" s="342">
        <v>0</v>
      </c>
      <c r="E20" s="342"/>
      <c r="F20" s="97"/>
      <c r="G20" s="97" t="s">
        <v>146</v>
      </c>
      <c r="H20" s="97" t="s">
        <v>146</v>
      </c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247"/>
    </row>
    <row r="21" spans="1:21" ht="13.5" customHeight="1">
      <c r="A21" s="221"/>
      <c r="B21" s="93"/>
      <c r="C21" s="94"/>
      <c r="D21" s="95">
        <v>-2</v>
      </c>
      <c r="E21" s="100"/>
      <c r="F21" s="97"/>
      <c r="G21" s="97"/>
      <c r="H21" s="97"/>
      <c r="I21" s="97"/>
      <c r="J21" s="97" t="s">
        <v>146</v>
      </c>
      <c r="K21" s="97" t="s">
        <v>146</v>
      </c>
      <c r="L21" s="97" t="s">
        <v>146</v>
      </c>
      <c r="M21" s="97"/>
      <c r="N21" s="97"/>
      <c r="O21" s="97"/>
      <c r="P21" s="97"/>
      <c r="Q21" s="97"/>
      <c r="R21" s="97"/>
      <c r="S21" s="97"/>
      <c r="T21" s="247"/>
    </row>
    <row r="22" spans="1:21" ht="13.5" customHeight="1">
      <c r="A22" s="221"/>
      <c r="B22" s="93"/>
      <c r="C22" s="94"/>
      <c r="D22" s="95">
        <v>2</v>
      </c>
      <c r="E22" s="100"/>
      <c r="F22" s="97"/>
      <c r="G22" s="97"/>
      <c r="H22" s="97"/>
      <c r="I22" s="97" t="s">
        <v>146</v>
      </c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247"/>
    </row>
    <row r="23" spans="1:21" ht="13.5" customHeight="1">
      <c r="A23" s="221"/>
      <c r="B23" s="93" t="s">
        <v>142</v>
      </c>
      <c r="C23" s="94"/>
      <c r="D23" s="95"/>
      <c r="E23" s="100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247"/>
    </row>
    <row r="24" spans="1:21" ht="13.5" customHeight="1">
      <c r="A24" s="221"/>
      <c r="B24" s="93"/>
      <c r="C24" s="94"/>
      <c r="D24" s="95">
        <v>0</v>
      </c>
      <c r="E24" s="100"/>
      <c r="F24" s="97"/>
      <c r="G24" s="97" t="s">
        <v>146</v>
      </c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247"/>
    </row>
    <row r="25" spans="1:21" ht="13.5" customHeight="1">
      <c r="A25" s="221"/>
      <c r="B25" s="93"/>
      <c r="C25" s="94"/>
      <c r="D25" s="95">
        <v>1</v>
      </c>
      <c r="E25" s="100"/>
      <c r="F25" s="97"/>
      <c r="G25" s="97"/>
      <c r="H25" s="97" t="s">
        <v>146</v>
      </c>
      <c r="I25" s="97" t="s">
        <v>146</v>
      </c>
      <c r="J25" s="97" t="s">
        <v>146</v>
      </c>
      <c r="K25" s="97"/>
      <c r="L25" s="97"/>
      <c r="M25" s="97"/>
      <c r="N25" s="97"/>
      <c r="O25" s="97"/>
      <c r="P25" s="97"/>
      <c r="Q25" s="97"/>
      <c r="R25" s="97"/>
      <c r="S25" s="97"/>
      <c r="T25" s="247"/>
    </row>
    <row r="26" spans="1:21" ht="13.5" customHeight="1">
      <c r="A26" s="221"/>
      <c r="B26" s="93"/>
      <c r="C26" s="94"/>
      <c r="D26" s="95">
        <v>3</v>
      </c>
      <c r="E26" s="100"/>
      <c r="F26" s="97"/>
      <c r="G26" s="97"/>
      <c r="H26" s="97"/>
      <c r="I26" s="97"/>
      <c r="J26" s="97"/>
      <c r="K26" s="97"/>
      <c r="L26" s="97" t="s">
        <v>146</v>
      </c>
      <c r="M26" s="97"/>
      <c r="N26" s="97"/>
      <c r="O26" s="97"/>
      <c r="P26" s="97"/>
      <c r="Q26" s="97"/>
      <c r="R26" s="97"/>
      <c r="S26" s="97"/>
      <c r="T26" s="247"/>
    </row>
    <row r="27" spans="1:21" ht="13.5" customHeight="1">
      <c r="A27" s="221"/>
      <c r="B27" s="93"/>
      <c r="C27" s="94"/>
      <c r="D27" s="95">
        <v>5</v>
      </c>
      <c r="E27" s="100"/>
      <c r="F27" s="97"/>
      <c r="G27" s="97"/>
      <c r="H27" s="97"/>
      <c r="I27" s="97"/>
      <c r="J27" s="97"/>
      <c r="K27" s="97" t="s">
        <v>146</v>
      </c>
      <c r="L27" s="97"/>
      <c r="M27" s="97"/>
      <c r="N27" s="97"/>
      <c r="O27" s="97"/>
      <c r="P27" s="97"/>
      <c r="Q27" s="97"/>
      <c r="R27" s="97"/>
      <c r="S27" s="97"/>
      <c r="T27" s="247"/>
    </row>
    <row r="28" spans="1:21" ht="13.5" customHeight="1">
      <c r="A28" s="221"/>
      <c r="B28" s="93"/>
      <c r="C28" s="94"/>
      <c r="D28" s="95"/>
      <c r="E28" s="100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247"/>
    </row>
    <row r="29" spans="1:21" ht="13.5" customHeight="1">
      <c r="A29" s="221"/>
      <c r="B29" s="93"/>
      <c r="C29" s="94"/>
      <c r="D29" s="95"/>
      <c r="E29" s="100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247"/>
    </row>
    <row r="30" spans="1:21" ht="13.5" customHeight="1">
      <c r="A30" s="221"/>
      <c r="B30" s="93"/>
      <c r="C30" s="94"/>
      <c r="D30" s="95"/>
      <c r="E30" s="100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247"/>
    </row>
    <row r="31" spans="1:21" ht="13.5" customHeight="1">
      <c r="A31" s="221"/>
      <c r="B31" s="93"/>
      <c r="C31" s="94"/>
      <c r="D31" s="95"/>
      <c r="E31" s="100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247"/>
    </row>
    <row r="32" spans="1:21" ht="13.5" customHeight="1" thickBot="1">
      <c r="A32" s="221"/>
      <c r="B32" s="102"/>
      <c r="C32" s="103"/>
      <c r="D32" s="104"/>
      <c r="E32" s="105"/>
      <c r="F32" s="106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248"/>
    </row>
    <row r="33" spans="1:20" ht="13.5" customHeight="1" thickTop="1">
      <c r="A33" s="234" t="s">
        <v>115</v>
      </c>
      <c r="B33" s="107" t="s">
        <v>89</v>
      </c>
      <c r="C33" s="108"/>
      <c r="D33" s="109"/>
      <c r="E33" s="110"/>
      <c r="F33" s="111"/>
      <c r="G33" s="111"/>
      <c r="H33" s="111"/>
      <c r="I33" s="111"/>
      <c r="J33" s="111"/>
      <c r="K33" s="111"/>
      <c r="L33" s="111"/>
      <c r="M33" s="111"/>
      <c r="N33" s="111"/>
      <c r="O33" s="111"/>
      <c r="P33" s="111"/>
      <c r="Q33" s="111"/>
      <c r="R33" s="111"/>
      <c r="S33" s="111"/>
      <c r="T33" s="249"/>
    </row>
    <row r="34" spans="1:20" ht="13.5" customHeight="1">
      <c r="A34" s="233"/>
      <c r="B34" s="159" t="s">
        <v>143</v>
      </c>
      <c r="C34" s="113"/>
      <c r="D34" s="114"/>
      <c r="E34" s="115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247"/>
    </row>
    <row r="35" spans="1:20" ht="13.5" customHeight="1">
      <c r="A35" s="233"/>
      <c r="B35" s="159"/>
      <c r="C35" s="113"/>
      <c r="D35" s="114" t="s">
        <v>144</v>
      </c>
      <c r="E35" s="115"/>
      <c r="F35" s="97" t="s">
        <v>146</v>
      </c>
      <c r="G35" s="97"/>
      <c r="H35" s="97" t="s">
        <v>146</v>
      </c>
      <c r="I35" s="97"/>
      <c r="J35" s="97"/>
      <c r="K35" s="97" t="s">
        <v>146</v>
      </c>
      <c r="L35" s="97"/>
      <c r="M35" s="97"/>
      <c r="N35" s="97"/>
      <c r="O35" s="97"/>
      <c r="P35" s="97"/>
      <c r="Q35" s="97"/>
      <c r="R35" s="97"/>
      <c r="S35" s="97"/>
      <c r="T35" s="247"/>
    </row>
    <row r="36" spans="1:20" ht="13.5" customHeight="1">
      <c r="A36" s="233"/>
      <c r="B36" s="159"/>
      <c r="C36" s="113"/>
      <c r="D36" s="114" t="s">
        <v>145</v>
      </c>
      <c r="E36" s="115"/>
      <c r="F36" s="97"/>
      <c r="G36" s="97" t="s">
        <v>146</v>
      </c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247"/>
    </row>
    <row r="37" spans="1:20" ht="13.5" customHeight="1">
      <c r="A37" s="233"/>
      <c r="B37" s="159"/>
      <c r="C37" s="113"/>
      <c r="D37" s="114" t="s">
        <v>148</v>
      </c>
      <c r="E37" s="115"/>
      <c r="F37" s="97"/>
      <c r="G37" s="97"/>
      <c r="H37" s="97"/>
      <c r="I37" s="97" t="s">
        <v>146</v>
      </c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247"/>
    </row>
    <row r="38" spans="1:20" ht="13.5" customHeight="1">
      <c r="A38" s="233"/>
      <c r="B38" s="159"/>
      <c r="C38" s="113"/>
      <c r="D38" s="114" t="s">
        <v>149</v>
      </c>
      <c r="E38" s="115"/>
      <c r="F38" s="97"/>
      <c r="G38" s="97"/>
      <c r="H38" s="97"/>
      <c r="I38" s="97"/>
      <c r="J38" s="97" t="s">
        <v>146</v>
      </c>
      <c r="K38" s="97"/>
      <c r="L38" s="97"/>
      <c r="M38" s="97"/>
      <c r="N38" s="97"/>
      <c r="O38" s="97"/>
      <c r="P38" s="97"/>
      <c r="Q38" s="97"/>
      <c r="R38" s="97"/>
      <c r="S38" s="97"/>
      <c r="T38" s="247"/>
    </row>
    <row r="39" spans="1:20" ht="13.5" customHeight="1">
      <c r="A39" s="233"/>
      <c r="B39" s="112"/>
      <c r="C39" s="116"/>
      <c r="D39" s="114" t="s">
        <v>150</v>
      </c>
      <c r="E39" s="117"/>
      <c r="F39" s="97"/>
      <c r="G39" s="97"/>
      <c r="H39" s="97"/>
      <c r="I39" s="97"/>
      <c r="J39" s="97"/>
      <c r="K39" s="97"/>
      <c r="L39" s="97" t="s">
        <v>146</v>
      </c>
      <c r="M39" s="97"/>
      <c r="N39" s="97"/>
      <c r="O39" s="97"/>
      <c r="P39" s="97"/>
      <c r="Q39" s="97"/>
      <c r="R39" s="97"/>
      <c r="S39" s="97"/>
      <c r="T39" s="247"/>
    </row>
    <row r="40" spans="1:20" ht="13.5" customHeight="1">
      <c r="A40" s="233"/>
      <c r="B40" s="112" t="s">
        <v>90</v>
      </c>
      <c r="C40" s="116"/>
      <c r="D40" s="114"/>
      <c r="E40" s="11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247"/>
    </row>
    <row r="41" spans="1:20" ht="13.5" customHeight="1">
      <c r="A41" s="233"/>
      <c r="B41" s="112"/>
      <c r="C41" s="116"/>
      <c r="D41" s="114"/>
      <c r="E41" s="11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247"/>
    </row>
    <row r="42" spans="1:20" ht="13.5" customHeight="1">
      <c r="A42" s="233"/>
      <c r="B42" s="112" t="s">
        <v>91</v>
      </c>
      <c r="C42" s="116"/>
      <c r="D42" s="114"/>
      <c r="E42" s="11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247"/>
    </row>
    <row r="43" spans="1:20" ht="13.5" customHeight="1">
      <c r="A43" s="233"/>
      <c r="B43" s="112"/>
      <c r="C43" s="116"/>
      <c r="D43" s="114" t="s">
        <v>147</v>
      </c>
      <c r="E43" s="117"/>
      <c r="F43" s="97" t="s">
        <v>146</v>
      </c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247"/>
    </row>
    <row r="44" spans="1:20" ht="13.5" customHeight="1" thickBot="1">
      <c r="A44" s="233"/>
      <c r="B44" s="207"/>
      <c r="C44" s="208"/>
      <c r="D44" s="209"/>
      <c r="E44" s="210"/>
      <c r="F44" s="239"/>
      <c r="G44" s="239"/>
      <c r="H44" s="239"/>
      <c r="I44" s="239"/>
      <c r="J44" s="239"/>
      <c r="K44" s="239"/>
      <c r="L44" s="239"/>
      <c r="M44" s="239"/>
      <c r="N44" s="239"/>
      <c r="O44" s="239"/>
      <c r="P44" s="239"/>
      <c r="Q44" s="239"/>
      <c r="R44" s="239"/>
      <c r="S44" s="239"/>
      <c r="T44" s="250"/>
    </row>
    <row r="45" spans="1:20" ht="13.5" customHeight="1" thickTop="1">
      <c r="A45" s="234" t="s">
        <v>68</v>
      </c>
      <c r="B45" s="338" t="s">
        <v>69</v>
      </c>
      <c r="C45" s="338"/>
      <c r="D45" s="338"/>
      <c r="E45" s="212"/>
      <c r="F45" s="240" t="s">
        <v>72</v>
      </c>
      <c r="G45" s="240" t="s">
        <v>70</v>
      </c>
      <c r="H45" s="240" t="s">
        <v>70</v>
      </c>
      <c r="I45" s="240" t="s">
        <v>70</v>
      </c>
      <c r="J45" s="240" t="s">
        <v>70</v>
      </c>
      <c r="K45" s="240" t="s">
        <v>70</v>
      </c>
      <c r="L45" s="240" t="s">
        <v>71</v>
      </c>
      <c r="M45" s="240"/>
      <c r="N45" s="240"/>
      <c r="O45" s="240"/>
      <c r="P45" s="240"/>
      <c r="Q45" s="240"/>
      <c r="R45" s="240"/>
      <c r="S45" s="240"/>
      <c r="T45" s="251"/>
    </row>
    <row r="46" spans="1:20" ht="13.5" customHeight="1">
      <c r="A46" s="226"/>
      <c r="B46" s="326" t="s">
        <v>73</v>
      </c>
      <c r="C46" s="326"/>
      <c r="D46" s="326"/>
      <c r="E46" s="119"/>
      <c r="F46" s="118"/>
      <c r="G46" s="118"/>
      <c r="H46" s="118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252"/>
    </row>
    <row r="47" spans="1:20" ht="13.5" customHeight="1">
      <c r="A47" s="226"/>
      <c r="B47" s="336" t="s">
        <v>76</v>
      </c>
      <c r="C47" s="336"/>
      <c r="D47" s="336"/>
      <c r="E47" s="120"/>
      <c r="F47" s="121">
        <v>39139</v>
      </c>
      <c r="G47" s="121">
        <v>39139</v>
      </c>
      <c r="H47" s="121">
        <v>39139</v>
      </c>
      <c r="I47" s="121">
        <v>39139</v>
      </c>
      <c r="J47" s="121">
        <v>39139</v>
      </c>
      <c r="K47" s="121">
        <v>39139</v>
      </c>
      <c r="L47" s="121">
        <v>39144</v>
      </c>
      <c r="M47" s="121"/>
      <c r="N47" s="121"/>
      <c r="O47" s="121"/>
      <c r="P47" s="121"/>
      <c r="Q47" s="121"/>
      <c r="R47" s="121"/>
      <c r="S47" s="121"/>
      <c r="T47" s="228"/>
    </row>
    <row r="48" spans="1:20" ht="10.8" thickBot="1">
      <c r="A48" s="229"/>
      <c r="B48" s="337" t="s">
        <v>77</v>
      </c>
      <c r="C48" s="337"/>
      <c r="D48" s="337"/>
      <c r="E48" s="230"/>
      <c r="F48" s="231"/>
      <c r="G48" s="231"/>
      <c r="H48" s="231"/>
      <c r="I48" s="231"/>
      <c r="J48" s="231"/>
      <c r="K48" s="231"/>
      <c r="L48" s="231"/>
      <c r="M48" s="231"/>
      <c r="N48" s="231"/>
      <c r="O48" s="231"/>
      <c r="P48" s="231"/>
      <c r="Q48" s="231"/>
      <c r="R48" s="231"/>
      <c r="S48" s="231"/>
      <c r="T48" s="232"/>
    </row>
    <row r="49" spans="1:4" ht="10.8" thickTop="1">
      <c r="A49" s="89"/>
      <c r="B49" s="85"/>
      <c r="C49" s="86"/>
      <c r="D49" s="85"/>
    </row>
  </sheetData>
  <mergeCells count="28">
    <mergeCell ref="B48:D48"/>
    <mergeCell ref="D20:E20"/>
    <mergeCell ref="B45:D45"/>
    <mergeCell ref="B46:D46"/>
    <mergeCell ref="B47:D47"/>
    <mergeCell ref="A6:B6"/>
    <mergeCell ref="C6:E6"/>
    <mergeCell ref="F6:K6"/>
    <mergeCell ref="L6:N6"/>
    <mergeCell ref="O6:T6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2:B2"/>
    <mergeCell ref="C2:E2"/>
    <mergeCell ref="F2:K2"/>
    <mergeCell ref="L2:T2"/>
    <mergeCell ref="A3:B3"/>
    <mergeCell ref="C3:E3"/>
    <mergeCell ref="F3:K3"/>
    <mergeCell ref="L3:N3"/>
  </mergeCells>
  <phoneticPr fontId="44"/>
  <dataValidations count="3">
    <dataValidation type="list" allowBlank="1" showInputMessage="1" showErrorMessage="1" sqref="F46:T46" xr:uid="{0018AED8-4E3D-4283-A38F-7140097D96F3}">
      <formula1>"P,F, "</formula1>
    </dataValidation>
    <dataValidation type="list" allowBlank="1" showInputMessage="1" showErrorMessage="1" sqref="F45:T45" xr:uid="{72CD8330-6D28-420C-8A39-64A247315BE2}">
      <formula1>"N,A,B, "</formula1>
    </dataValidation>
    <dataValidation type="list" allowBlank="1" showInputMessage="1" showErrorMessage="1" sqref="F10:T44" xr:uid="{08F0B42E-EC6D-4257-ADEE-C942DD5ED4A8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</vt:i4>
      </vt:variant>
    </vt:vector>
  </HeadingPairs>
  <TitlesOfParts>
    <vt:vector size="14" baseType="lpstr">
      <vt:lpstr>Guideline</vt:lpstr>
      <vt:lpstr>Cover</vt:lpstr>
      <vt:lpstr>Functions</vt:lpstr>
      <vt:lpstr>Statistics</vt:lpstr>
      <vt:lpstr>Function 1</vt:lpstr>
      <vt:lpstr>Function 2</vt:lpstr>
      <vt:lpstr>Function3</vt:lpstr>
      <vt:lpstr>Example</vt:lpstr>
      <vt:lpstr>'Function 1'!Print_Area</vt:lpstr>
      <vt:lpstr>'Function 2'!Print_Area</vt:lpstr>
      <vt:lpstr>Function3!Print_Area</vt:lpstr>
      <vt:lpstr>Functions!Print_Area</vt:lpstr>
      <vt:lpstr>Guideline!Print_Area</vt:lpstr>
      <vt:lpstr>Statistics!Print_Area</vt:lpstr>
    </vt:vector>
  </TitlesOfParts>
  <Company>FPT-Software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Hoang Anh</dc:creator>
  <cp:lastModifiedBy>My Tam</cp:lastModifiedBy>
  <cp:lastPrinted>2008-03-12T04:05:49Z</cp:lastPrinted>
  <dcterms:created xsi:type="dcterms:W3CDTF">2007-10-09T09:39:48Z</dcterms:created>
  <dcterms:modified xsi:type="dcterms:W3CDTF">2026-10-06T20:02:32Z</dcterms:modified>
</cp:coreProperties>
</file>