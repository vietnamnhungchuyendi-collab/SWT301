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 Uni\ky5\SWT301\slot 6\outputs\slot7_submission\docs\"/>
    </mc:Choice>
  </mc:AlternateContent>
  <xr:revisionPtr revIDLastSave="0" documentId="13_ncr:1_{9B0EEA3C-BD6F-4E0A-A18D-98D5C8457CB1}" xr6:coauthVersionLast="47" xr6:coauthVersionMax="47" xr10:uidLastSave="{00000000-0000-0000-0000-000000000000}"/>
  <bookViews>
    <workbookView xWindow="-108" yWindow="-108" windowWidth="23256" windowHeight="12456" activeTab="6" xr2:uid="{D3D76404-E33F-4117-8CC9-51F9E5FD5C86}"/>
  </bookViews>
  <sheets>
    <sheet name="Guideline" sheetId="1" r:id="rId1"/>
    <sheet name="Cover" sheetId="4" r:id="rId2"/>
    <sheet name="Functions" sheetId="5" r:id="rId3"/>
    <sheet name="Statistics" sheetId="6" r:id="rId4"/>
    <sheet name="Function 1" sheetId="7" r:id="rId5"/>
    <sheet name="Function 2" sheetId="10" r:id="rId6"/>
    <sheet name="Function3" sheetId="11" r:id="rId7"/>
    <sheet name="Example" sheetId="12" r:id="rId8"/>
  </sheets>
  <definedNames>
    <definedName name="ACTION">#REF!</definedName>
    <definedName name="_xlnm.Print_Area" localSheetId="4">'Function 1'!$A$1:$T$53</definedName>
    <definedName name="_xlnm.Print_Area" localSheetId="5">'Function 2'!$A$1:$T$52</definedName>
    <definedName name="_xlnm.Print_Area" localSheetId="6">Function3!$A$1:$T$53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Cols" localSheetId="4" hidden="1">'Function 1'!$E:$E</definedName>
    <definedName name="Z_2C0D9096_8D85_462A_A9B5_0B488ADB4269_.wvu.Cols" localSheetId="5" hidden="1">'Function 2'!$E:$E</definedName>
    <definedName name="Z_2C0D9096_8D85_462A_A9B5_0B488ADB4269_.wvu.Cols" localSheetId="6" hidden="1">Function3!$E:$E</definedName>
    <definedName name="Z_2C0D9096_8D85_462A_A9B5_0B488ADB4269_.wvu.PrintArea" localSheetId="3" hidden="1">Statistics!$A:$I</definedName>
    <definedName name="Z_6F1DCD5D_5DAC_4817_BF40_2B66F6F593E6_.wvu.Cols" localSheetId="4" hidden="1">'Function 1'!$E:$E</definedName>
    <definedName name="Z_6F1DCD5D_5DAC_4817_BF40_2B66F6F593E6_.wvu.Cols" localSheetId="5" hidden="1">'Function 2'!$E:$E</definedName>
    <definedName name="Z_6F1DCD5D_5DAC_4817_BF40_2B66F6F593E6_.wvu.Cols" localSheetId="6" hidden="1">Function3!$E:$E</definedName>
    <definedName name="Z_6F1DCD5D_5DAC_4817_BF40_2B66F6F593E6_.wvu.PrintArea" localSheetId="3" hidden="1">Statistics!$A:$I</definedName>
    <definedName name="Z_BE54E0AD_3725_4423_92D7_4F1C045BE1BC_.wvu.Cols" localSheetId="4" hidden="1">'Function 1'!$E:$E</definedName>
    <definedName name="Z_BE54E0AD_3725_4423_92D7_4F1C045BE1BC_.wvu.Cols" localSheetId="5" hidden="1">'Function 2'!$E:$E</definedName>
    <definedName name="Z_BE54E0AD_3725_4423_92D7_4F1C045BE1BC_.wvu.Cols" localSheetId="6" hidden="1">Function3!$E:$E</definedName>
    <definedName name="Z_BE54E0AD_3725_4423_92D7_4F1C045BE1BC_.wvu.PrintArea" localSheetId="3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H14" i="6" s="1"/>
  <c r="H17" i="6" s="1"/>
  <c r="M7" i="11"/>
  <c r="G14" i="6" s="1"/>
  <c r="L7" i="11"/>
  <c r="F14" i="6" s="1"/>
  <c r="N7" i="10"/>
  <c r="M7" i="10"/>
  <c r="L7" i="10"/>
  <c r="N7" i="7"/>
  <c r="M7" i="7"/>
  <c r="G12" i="6" s="1"/>
  <c r="L7" i="7"/>
  <c r="F12" i="6" s="1"/>
  <c r="C7" i="11"/>
  <c r="A7" i="11"/>
  <c r="C7" i="10"/>
  <c r="D13" i="6" s="1"/>
  <c r="A7" i="10"/>
  <c r="C13" i="6" s="1"/>
  <c r="F7" i="10"/>
  <c r="E13" i="6" s="1"/>
  <c r="C7" i="7"/>
  <c r="D12" i="6" s="1"/>
  <c r="A7" i="7"/>
  <c r="C12" i="6" s="1"/>
  <c r="L2" i="11"/>
  <c r="C2" i="11"/>
  <c r="L2" i="10"/>
  <c r="C2" i="10"/>
  <c r="C2" i="7"/>
  <c r="O7" i="12"/>
  <c r="L4" i="12" s="1"/>
  <c r="N7" i="12"/>
  <c r="M7" i="12"/>
  <c r="L7" i="12"/>
  <c r="A7" i="12"/>
  <c r="C7" i="12"/>
  <c r="L2" i="12"/>
  <c r="C2" i="12"/>
  <c r="O7" i="11"/>
  <c r="I14" i="6" s="1"/>
  <c r="H12" i="6"/>
  <c r="H13" i="6"/>
  <c r="O7" i="7"/>
  <c r="L4" i="7" s="1"/>
  <c r="I12" i="6"/>
  <c r="O7" i="10"/>
  <c r="I13" i="6"/>
  <c r="G13" i="6"/>
  <c r="F13" i="6"/>
  <c r="L4" i="11"/>
  <c r="L4" i="10"/>
  <c r="B6" i="4"/>
  <c r="E4" i="5"/>
  <c r="E5" i="5"/>
  <c r="B4" i="6"/>
  <c r="B5" i="6"/>
  <c r="B6" i="6" s="1"/>
  <c r="L2" i="7"/>
  <c r="C14" i="6"/>
  <c r="F17" i="6" l="1"/>
  <c r="I17" i="6"/>
  <c r="F7" i="11"/>
  <c r="E14" i="6" s="1"/>
  <c r="C17" i="6"/>
  <c r="D20" i="6" s="1"/>
  <c r="F7" i="12"/>
  <c r="D21" i="6"/>
  <c r="G17" i="6"/>
  <c r="D22" i="6" s="1"/>
  <c r="D23" i="6"/>
  <c r="D14" i="6"/>
  <c r="D17" i="6" s="1"/>
  <c r="F7" i="7"/>
  <c r="E12" i="6" s="1"/>
  <c r="E17" i="6" s="1"/>
  <c r="D1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18BC4BB0-3BBE-4FFC-94B6-E9D4C8B19C21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7E519EF-1D6F-4120-92D4-1C75517374D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ABA724FA-640D-4E61-B2B9-CCDD869A9206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5961D5A-6DF0-48C3-AD41-9497B7A846F7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93B53AE8-B45E-4AC0-BD20-79F61E8E03D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40B20AC-D323-4D9B-9998-147B7CBF3A8C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F5C2F68-50C3-4AEB-B986-641B92DAF2AD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A17C676-54C3-4F02-9C83-52B1FDBE3BA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85C78CD-17FB-452B-88A8-72072CD4DF7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<sst xmlns="http://schemas.openxmlformats.org/spreadsheetml/2006/main" count="737" uniqueCount="258">
  <si>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</si>
  <si>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</si>
  <si>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</si>
  <si>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</si>
  <si>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</si>
  <si>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</si>
  <si>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</si>
  <si>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</si>
  <si>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</si>
  <si>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</si>
  <si>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</si>
  <si>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</si>
  <si>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</si>
  <si>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</si>
  <si>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</si>
  <si>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</si>
  <si>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</si>
  <si>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</si>
  <si>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</si>
  <si>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</si>
  <si>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</si>
  <si>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</si>
  <si>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</si>
  <si>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</si>
  <si>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</si>
  <si>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</si>
  <si>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</si>
  <si>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</si>
  <si>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</si>
  <si>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</si>
  <si>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</si>
  <si>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</si>
  <si>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</si>
  <si>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</si>
  <si>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</si>
  <si>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</si>
  <si>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</si>
  <si>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</si>
  <si>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</si>
  <si>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</si>
  <si>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</si>
  <si>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</si>
  <si>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</si>
  <si>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</si>
  <si>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</si>
  <si>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</si>
  <si>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</si>
  <si>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</si>
  <si>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</si>
  <si>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</si>
  <si>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</si>
  <si>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</si>
  <si>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</si>
  <si>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Executed Date</t>
  </si>
  <si>
    <t>Defect ID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</si>
  <si>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</si>
  <si>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</si>
  <si>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</si>
  <si>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</si>
  <si>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</si>
  <si>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</si>
  <si>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</si>
  <si>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</si>
  <si>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</si>
  <si>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</si>
  <si>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</si>
  <si>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</si>
  <si>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</si>
  <si>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</si>
  <si>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</si>
  <si>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</si>
  <si>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</si>
  <si>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</si>
  <si>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</si>
  <si>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</si>
  <si>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</si>
  <si>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</si>
  <si>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</si>
  <si>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Confirm</t>
  </si>
  <si>
    <t>Return</t>
  </si>
  <si>
    <t>Exception</t>
  </si>
  <si>
    <t>Log message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</si>
  <si>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</si>
  <si>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</si>
  <si>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</si>
  <si>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</si>
  <si>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</si>
  <si>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</si>
  <si>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</si>
  <si>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</si>
  <si>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</si>
  <si>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</si>
  <si>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</si>
  <si>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</si>
  <si>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</si>
  <si>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</si>
  <si>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</si>
  <si>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</si>
  <si>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</si>
  <si>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</si>
  <si>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4" type="noConversion"/>
  </si>
  <si>
    <t>b</t>
    <phoneticPr fontId="34" type="noConversion"/>
  </si>
  <si>
    <t>c</t>
    <phoneticPr fontId="44"/>
  </si>
  <si>
    <t xml:space="preserve">list </t>
    <phoneticPr fontId="44"/>
  </si>
  <si>
    <t>null</t>
    <phoneticPr fontId="44"/>
  </si>
  <si>
    <t>size = 0</t>
    <phoneticPr fontId="44"/>
  </si>
  <si>
    <t>O</t>
  </si>
  <si>
    <t>"please input a&gt;= -1"</t>
    <phoneticPr fontId="44"/>
  </si>
  <si>
    <t>{-1/2}</t>
    <phoneticPr fontId="44"/>
  </si>
  <si>
    <t>{1,1}</t>
    <phoneticPr fontId="44"/>
  </si>
  <si>
    <t>{1,-3}</t>
    <phoneticPr fontId="44"/>
  </si>
  <si>
    <t xml:space="preserve"> Function Code(Optional)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</si>
  <si>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</si>
  <si>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</si>
  <si>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</si>
  <si>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</si>
  <si>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</si>
  <si>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</si>
  <si>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</si>
  <si>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</si>
  <si>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</si>
  <si>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</si>
  <si>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</si>
  <si>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</si>
  <si>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</si>
  <si>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</si>
  <si>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</si>
  <si>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</si>
  <si>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</si>
  <si>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</si>
  <si>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</si>
  <si>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</si>
  <si>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</si>
  <si>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</si>
  <si>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</si>
  <si>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</si>
  <si>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</si>
  <si>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Function List</t>
  </si>
  <si>
    <t>UNIT TEST DOCUMENT</t>
  </si>
  <si>
    <t>tam0605</t>
  </si>
  <si>
    <t>Not yet approved</t>
  </si>
  <si>
    <t>07/10/2026</t>
  </si>
  <si>
    <t>45 unit cases. Integration: 3 in docs/Test-plan.md. Code coverage: tests/coverage/index.html.</t>
  </si>
  <si>
    <t>AUTH01</t>
  </si>
  <si>
    <t>AUTH02</t>
  </si>
  <si>
    <t>AUTH03</t>
  </si>
  <si>
    <t>FJMS Authentication</t>
  </si>
  <si>
    <t>FJMS</t>
  </si>
  <si>
    <t>1.0</t>
  </si>
  <si>
    <t>Unit tests</t>
  </si>
  <si>
    <t>45 executed unit cases</t>
  </si>
  <si>
    <t>SWT301 slot7</t>
  </si>
  <si>
    <t>N/A</t>
  </si>
  <si>
    <t>Node.js 22; Jest 29.7; Express; mocked SQL/email; no live DB required.</t>
  </si>
  <si>
    <t>Authentication</t>
  </si>
  <si>
    <t>authCore.js</t>
  </si>
  <si>
    <t>register</t>
  </si>
  <si>
    <t>Function 1</t>
  </si>
  <si>
    <t>15 unit cases</t>
  </si>
  <si>
    <t>Reset mocked dependencies</t>
  </si>
  <si>
    <t>verifyEmail</t>
  </si>
  <si>
    <t>Function 2</t>
  </si>
  <si>
    <t>login</t>
  </si>
  <si>
    <t>HTTP: 1=200,2=201,3=400,4=401,5=403,6=404,7=500; docs/Test-plan.md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</si>
  <si>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</si>
  <si>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</si>
  <si>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</si>
  <si>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</si>
  <si>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</si>
  <si>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</si>
  <si>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</si>
  <si>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</si>
  <si>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</si>
  <si>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</si>
  <si>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</si>
  <si>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</si>
  <si>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</si>
  <si>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</si>
  <si>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</si>
  <si>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SQL/email mocked</t>
  </si>
  <si>
    <t>test@example.com</t>
  </si>
  <si>
    <t>Aa12345!</t>
  </si>
  <si>
    <t>Input/state : HTTP</t>
  </si>
  <si>
    <t>name="":3</t>
  </si>
  <si>
    <t>email="":3</t>
  </si>
  <si>
    <t>pwd="":3</t>
  </si>
  <si>
    <t>role="":3</t>
  </si>
  <si>
    <t>role=ADMIN:3</t>
  </si>
  <si>
    <t>pwd=Aa1234!:3</t>
  </si>
  <si>
    <t>pwd=aa12345!:3</t>
  </si>
  <si>
    <t>pwd=AA12345!:3</t>
  </si>
  <si>
    <t>no digit/special:3</t>
  </si>
  <si>
    <t>SQL error:7</t>
  </si>
  <si>
    <t>email exists:3</t>
  </si>
  <si>
    <t>phone=123:3</t>
  </si>
  <si>
    <t>phone exists:3</t>
  </si>
  <si>
    <t>role=free:2</t>
  </si>
  <si>
    <t>role=EMP:2</t>
  </si>
  <si>
    <t>HTTP as input</t>
  </si>
  <si>
    <t>Body checked</t>
  </si>
  <si>
    <t>None</t>
  </si>
  <si>
    <t>Not asserted</t>
  </si>
  <si>
    <t>7/10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</si>
  <si>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</si>
  <si>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</si>
  <si>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</si>
  <si>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</si>
  <si>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</si>
  <si>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</si>
  <si>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</si>
  <si>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</si>
  <si>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</si>
  <si>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</si>
  <si>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</si>
  <si>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</si>
  <si>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</si>
  <si>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</si>
  <si>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</si>
  <si>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code=550000</t>
  </si>
  <si>
    <t>code="":3</t>
  </si>
  <si>
    <t>user not found:6</t>
  </si>
  <si>
    <t>verified=true:1</t>
  </si>
  <si>
    <t>code=wrong:3</t>
  </si>
  <si>
    <t>code=used:3</t>
  </si>
  <si>
    <t>expiry=now-1ms:3</t>
  </si>
  <si>
    <t>expiry=now:1</t>
  </si>
  <si>
    <t>expiry=now+1ms:1</t>
  </si>
  <si>
    <t>expiry=now+10m:1</t>
  </si>
  <si>
    <t>query1 error:7</t>
  </si>
  <si>
    <t>query2 error:7</t>
  </si>
  <si>
    <t>query3 error:7</t>
  </si>
  <si>
    <t>query4 error:7</t>
  </si>
  <si>
    <t>valid OTP:1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</si>
  <si>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</si>
  <si>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</si>
  <si>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</si>
  <si>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</si>
  <si>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</si>
  <si>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</si>
  <si>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</si>
  <si>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</si>
  <si>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</si>
  <si>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</si>
  <si>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</si>
  <si>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</si>
  <si>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</si>
  <si>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</si>
  <si>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</si>
  <si>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user not found:3</t>
  </si>
  <si>
    <t>status=LOCKED:5</t>
  </si>
  <si>
    <t>SUSPEND:5</t>
  </si>
  <si>
    <t>wrong pwd:3</t>
  </si>
  <si>
    <t>verified=false:4</t>
  </si>
  <si>
    <t>FREE hash:1</t>
  </si>
  <si>
    <t>ADMIN plain:1</t>
  </si>
  <si>
    <t>ADMIN bcrypt:1</t>
  </si>
  <si>
    <t>JWT sign throws:7</t>
  </si>
  <si>
    <t>OTP save error:7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</si>
</sst>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;@"/>
    <numFmt numFmtId="165" formatCode="mm/dd"/>
    <numFmt numFmtId="166" formatCode="dd/mm/yyyy"/>
    <numFmt numFmtId="167" formatCode="dd/mm"/>
  </numFmts>
  <fonts count="5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10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/>
    <xf numFmtId="0" fontId="26" fillId="0" borderId="0" xfId="41" applyFont="1" applyAlignment="1">
      <alignment horizontal="left"/>
    </xf>
    <xf numFmtId="0" fontId="25" fillId="0" borderId="0" xfId="41" applyFont="1" applyAlignment="1">
      <alignment horizontal="left" indent="1"/>
    </xf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6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6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/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/>
    <xf numFmtId="0" fontId="24" fillId="24" borderId="0" xfId="38" applyFont="1" applyFill="1"/>
    <xf numFmtId="164" fontId="24" fillId="24" borderId="0" xfId="38" applyNumberFormat="1" applyFont="1" applyFill="1"/>
    <xf numFmtId="0" fontId="25" fillId="24" borderId="0" xfId="41" applyFont="1" applyFill="1"/>
    <xf numFmtId="0" fontId="26" fillId="24" borderId="0" xfId="38" applyFont="1" applyFill="1"/>
    <xf numFmtId="0" fontId="27" fillId="25" borderId="21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 wrapText="1"/>
    </xf>
    <xf numFmtId="0" fontId="27" fillId="25" borderId="22" xfId="41" applyFont="1" applyFill="1" applyBorder="1" applyAlignment="1">
      <alignment horizontal="center"/>
    </xf>
    <xf numFmtId="0" fontId="27" fillId="25" borderId="2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4" fillId="24" borderId="26" xfId="41" applyFont="1" applyFill="1" applyBorder="1" applyAlignment="1">
      <alignment horizontal="center"/>
    </xf>
    <xf numFmtId="0" fontId="32" fillId="25" borderId="24" xfId="4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Alignment="1">
      <alignment horizontal="center"/>
    </xf>
    <xf numFmtId="10" fontId="24" fillId="24" borderId="0" xfId="41" applyNumberFormat="1" applyFont="1" applyFill="1" applyAlignment="1">
      <alignment horizontal="center"/>
    </xf>
    <xf numFmtId="9" fontId="24" fillId="24" borderId="0" xfId="41" applyNumberFormat="1" applyFont="1" applyFill="1" applyAlignment="1">
      <alignment horizontal="center"/>
    </xf>
    <xf numFmtId="0" fontId="33" fillId="24" borderId="0" xfId="41" applyFont="1" applyFill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Alignment="1">
      <alignment horizontal="right"/>
    </xf>
    <xf numFmtId="0" fontId="35" fillId="0" borderId="0" xfId="41" applyFont="1" applyAlignment="1">
      <alignment vertical="top"/>
    </xf>
    <xf numFmtId="0" fontId="35" fillId="28" borderId="0" xfId="41" applyFont="1" applyFill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/>
    <xf numFmtId="0" fontId="36" fillId="27" borderId="40" xfId="41" applyFont="1" applyFill="1" applyBorder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/>
    <xf numFmtId="0" fontId="35" fillId="27" borderId="30" xfId="41" applyFont="1" applyFill="1" applyBorder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65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Alignment="1">
      <alignment horizontal="right"/>
    </xf>
    <xf numFmtId="0" fontId="35" fillId="0" borderId="0" xfId="42" applyFont="1" applyAlignment="1">
      <alignment vertical="top"/>
    </xf>
    <xf numFmtId="0" fontId="35" fillId="28" borderId="0" xfId="42" applyFont="1" applyFill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/>
    <xf numFmtId="0" fontId="36" fillId="27" borderId="40" xfId="42" applyFont="1" applyFill="1" applyBorder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/>
    <xf numFmtId="0" fontId="35" fillId="27" borderId="30" xfId="42" applyFont="1" applyFill="1" applyBorder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165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/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24" borderId="43" xfId="41" applyFont="1" applyFill="1" applyBorder="1" applyAlignment="1">
      <alignment horizontal="left"/>
    </xf>
    <xf numFmtId="0" fontId="30" fillId="0" borderId="0" xfId="41" applyFont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36" fillId="0" borderId="0" xfId="41" applyFont="1" applyAlignment="1">
      <alignment horizontal="center"/>
    </xf>
    <xf numFmtId="0" fontId="52" fillId="0" borderId="38" xfId="41" applyFont="1" applyBorder="1" applyAlignment="1">
      <alignment horizontal="center"/>
    </xf>
    <xf numFmtId="0" fontId="52" fillId="0" borderId="42" xfId="41" applyFont="1" applyBorder="1" applyAlignment="1">
      <alignment horizontal="center"/>
    </xf>
    <xf numFmtId="0" fontId="51" fillId="27" borderId="30" xfId="41" applyFont="1" applyFill="1" applyBorder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Font="1" applyFill="1" applyBorder="1" applyAlignment="1">
      <alignment horizontal="center" vertical="center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0" fillId="24" borderId="43" xfId="41" applyFont="1" applyFill="1" applyBorder="1" applyAlignment="1">
      <alignment horizontal="left" vertical="center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Alignment="1">
      <alignment horizontal="left"/>
    </xf>
    <xf numFmtId="2" fontId="30" fillId="24" borderId="0" xfId="41" applyNumberFormat="1" applyFont="1" applyFill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/>
    <xf numFmtId="0" fontId="35" fillId="27" borderId="32" xfId="41" applyFont="1" applyFill="1" applyBorder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2" fillId="0" borderId="51" xfId="41" applyFont="1" applyBorder="1" applyAlignment="1">
      <alignment horizontal="center"/>
    </xf>
    <xf numFmtId="0" fontId="35" fillId="0" borderId="52" xfId="41" applyFont="1" applyBorder="1" applyAlignment="1">
      <alignment horizontal="left"/>
    </xf>
    <xf numFmtId="0" fontId="35" fillId="0" borderId="52" xfId="41" applyFont="1" applyBorder="1" applyAlignment="1">
      <alignment horizontal="center"/>
    </xf>
    <xf numFmtId="0" fontId="55" fillId="0" borderId="0" xfId="41" applyFont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2" fillId="0" borderId="55" xfId="41" applyFont="1" applyBorder="1" applyAlignment="1">
      <alignment horizontal="center"/>
    </xf>
    <xf numFmtId="0" fontId="55" fillId="30" borderId="56" xfId="41" applyFont="1" applyFill="1" applyBorder="1" applyAlignment="1">
      <alignment vertical="center"/>
    </xf>
    <xf numFmtId="0" fontId="52" fillId="0" borderId="57" xfId="41" applyFont="1" applyBorder="1" applyAlignment="1">
      <alignment horizontal="center"/>
    </xf>
    <xf numFmtId="0" fontId="52" fillId="0" borderId="58" xfId="41" applyFont="1" applyBorder="1" applyAlignment="1">
      <alignment horizontal="center"/>
    </xf>
    <xf numFmtId="0" fontId="52" fillId="0" borderId="59" xfId="41" applyFont="1" applyBorder="1" applyAlignment="1">
      <alignment horizontal="center"/>
    </xf>
    <xf numFmtId="0" fontId="35" fillId="0" borderId="60" xfId="41" applyFont="1" applyBorder="1" applyAlignment="1">
      <alignment horizontal="center"/>
    </xf>
    <xf numFmtId="0" fontId="55" fillId="30" borderId="61" xfId="41" applyFont="1" applyFill="1" applyBorder="1" applyAlignment="1">
      <alignment vertical="top"/>
    </xf>
    <xf numFmtId="0" fontId="35" fillId="0" borderId="55" xfId="41" applyFont="1" applyBorder="1" applyAlignment="1">
      <alignment horizontal="center"/>
    </xf>
    <xf numFmtId="165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55" fillId="30" borderId="66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7" xfId="41" applyFont="1" applyFill="1" applyBorder="1" applyAlignment="1">
      <alignment vertical="top"/>
    </xf>
    <xf numFmtId="164" fontId="27" fillId="25" borderId="68" xfId="41" applyNumberFormat="1" applyFont="1" applyFill="1" applyBorder="1" applyAlignment="1">
      <alignment horizontal="center" vertical="center"/>
    </xf>
    <xf numFmtId="0" fontId="55" fillId="30" borderId="69" xfId="41" applyFont="1" applyFill="1" applyBorder="1" applyAlignment="1">
      <alignment horizontal="left"/>
    </xf>
    <xf numFmtId="0" fontId="56" fillId="30" borderId="69" xfId="41" applyFont="1" applyFill="1" applyBorder="1"/>
    <xf numFmtId="0" fontId="56" fillId="30" borderId="69" xfId="41" applyFont="1" applyFill="1" applyBorder="1" applyAlignment="1">
      <alignment horizontal="right"/>
    </xf>
    <xf numFmtId="0" fontId="55" fillId="30" borderId="69" xfId="41" applyFont="1" applyFill="1" applyBorder="1" applyAlignment="1">
      <alignment vertical="top" textRotation="180"/>
    </xf>
    <xf numFmtId="0" fontId="55" fillId="30" borderId="70" xfId="41" applyFont="1" applyFill="1" applyBorder="1" applyAlignment="1">
      <alignment vertical="top" textRotation="180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Font="1" applyFill="1" applyBorder="1" applyAlignment="1">
      <alignment horizontal="center" vertical="center"/>
    </xf>
    <xf numFmtId="0" fontId="36" fillId="27" borderId="49" xfId="42" applyFont="1" applyFill="1" applyBorder="1"/>
    <xf numFmtId="0" fontId="35" fillId="27" borderId="32" xfId="42" applyFont="1" applyFill="1" applyBorder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35" fillId="0" borderId="52" xfId="42" applyFont="1" applyBorder="1" applyAlignment="1">
      <alignment horizontal="left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39" fillId="0" borderId="55" xfId="42" applyFont="1" applyBorder="1" applyAlignment="1">
      <alignment horizontal="center"/>
    </xf>
    <xf numFmtId="0" fontId="55" fillId="30" borderId="56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63" xfId="42" applyFont="1" applyFill="1" applyBorder="1" applyAlignment="1">
      <alignment vertical="top"/>
    </xf>
    <xf numFmtId="0" fontId="39" fillId="0" borderId="58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39" fillId="0" borderId="59" xfId="42" applyFont="1" applyBorder="1" applyAlignment="1">
      <alignment horizontal="center"/>
    </xf>
    <xf numFmtId="0" fontId="41" fillId="0" borderId="60" xfId="42" applyFont="1" applyBorder="1" applyAlignment="1">
      <alignment horizontal="center"/>
    </xf>
    <xf numFmtId="0" fontId="55" fillId="30" borderId="61" xfId="42" applyFont="1" applyFill="1" applyBorder="1" applyAlignment="1">
      <alignment vertical="top"/>
    </xf>
    <xf numFmtId="0" fontId="41" fillId="0" borderId="55" xfId="42" applyFont="1" applyBorder="1" applyAlignment="1">
      <alignment horizontal="center"/>
    </xf>
    <xf numFmtId="165" fontId="35" fillId="0" borderId="55" xfId="42" applyNumberFormat="1" applyFont="1" applyBorder="1" applyAlignment="1">
      <alignment vertical="top" textRotation="255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7" xfId="42" applyFont="1" applyBorder="1" applyAlignment="1">
      <alignment textRotation="255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45" fillId="24" borderId="43" xfId="38" applyFont="1" applyFill="1" applyBorder="1" applyAlignment="1">
      <alignment vertical="top"/>
    </xf>
    <xf numFmtId="0" fontId="23" fillId="24" borderId="0" xfId="38" applyFont="1" applyFill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8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0" fontId="36" fillId="24" borderId="71" xfId="41" applyFont="1" applyFill="1" applyBorder="1" applyAlignment="1">
      <alignment horizontal="center" vertical="center" wrapText="1"/>
    </xf>
    <xf numFmtId="0" fontId="36" fillId="24" borderId="48" xfId="41" applyFont="1" applyFill="1" applyBorder="1" applyAlignment="1">
      <alignment horizontal="center" vertical="center" wrapText="1"/>
    </xf>
    <xf numFmtId="0" fontId="36" fillId="24" borderId="72" xfId="41" applyFont="1" applyFill="1" applyBorder="1" applyAlignment="1">
      <alignment horizontal="center" vertical="center" wrapText="1"/>
    </xf>
    <xf numFmtId="49" fontId="35" fillId="24" borderId="73" xfId="39" applyNumberFormat="1" applyFont="1" applyFill="1" applyBorder="1" applyAlignment="1">
      <alignment horizontal="center" wrapText="1"/>
    </xf>
    <xf numFmtId="0" fontId="35" fillId="24" borderId="74" xfId="39" applyFont="1" applyFill="1" applyBorder="1" applyAlignment="1">
      <alignment horizontal="center" wrapText="1"/>
    </xf>
    <xf numFmtId="0" fontId="35" fillId="24" borderId="75" xfId="39" applyFont="1" applyFill="1" applyBorder="1" applyAlignment="1">
      <alignment horizontal="center" wrapText="1"/>
    </xf>
    <xf numFmtId="0" fontId="38" fillId="24" borderId="44" xfId="39" applyFont="1" applyFill="1" applyBorder="1" applyAlignment="1">
      <alignment horizontal="left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71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76" xfId="39" applyFont="1" applyFill="1" applyBorder="1" applyAlignment="1">
      <alignment horizontal="center" wrapText="1"/>
    </xf>
    <xf numFmtId="0" fontId="36" fillId="24" borderId="77" xfId="41" applyFont="1" applyFill="1" applyBorder="1" applyAlignment="1">
      <alignment horizontal="center" vertical="center" wrapText="1"/>
    </xf>
    <xf numFmtId="0" fontId="35" fillId="0" borderId="33" xfId="41" applyFont="1" applyBorder="1" applyAlignment="1">
      <alignment horizontal="left" vertical="top"/>
    </xf>
    <xf numFmtId="0" fontId="35" fillId="0" borderId="38" xfId="41" applyFont="1" applyBorder="1" applyAlignment="1">
      <alignment horizontal="left" vertical="top"/>
    </xf>
    <xf numFmtId="0" fontId="35" fillId="0" borderId="52" xfId="41" applyFont="1" applyBorder="1" applyAlignment="1">
      <alignment horizontal="left"/>
    </xf>
    <xf numFmtId="0" fontId="38" fillId="24" borderId="78" xfId="39" applyFont="1" applyFill="1" applyBorder="1" applyAlignment="1">
      <alignment horizontal="left" wrapText="1"/>
    </xf>
    <xf numFmtId="0" fontId="38" fillId="24" borderId="79" xfId="39" applyFont="1" applyFill="1" applyBorder="1" applyAlignment="1">
      <alignment horizontal="left" wrapText="1"/>
    </xf>
    <xf numFmtId="0" fontId="35" fillId="0" borderId="0" xfId="41" applyFont="1" applyAlignment="1">
      <alignment horizontal="right"/>
    </xf>
    <xf numFmtId="0" fontId="36" fillId="24" borderId="80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6" fillId="24" borderId="80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81" xfId="39" applyFont="1" applyFill="1" applyBorder="1" applyAlignment="1">
      <alignment horizontal="left" wrapText="1"/>
    </xf>
    <xf numFmtId="0" fontId="38" fillId="24" borderId="82" xfId="39" applyFont="1" applyFill="1" applyBorder="1" applyAlignment="1">
      <alignment horizontal="left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83" xfId="41" applyFont="1" applyFill="1" applyBorder="1" applyAlignment="1">
      <alignment horizontal="center" vertical="center"/>
    </xf>
    <xf numFmtId="0" fontId="35" fillId="24" borderId="84" xfId="41" applyFont="1" applyFill="1" applyBorder="1" applyAlignment="1">
      <alignment horizontal="center" vertical="center"/>
    </xf>
    <xf numFmtId="0" fontId="36" fillId="24" borderId="85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49" fontId="38" fillId="24" borderId="73" xfId="39" applyNumberFormat="1" applyFont="1" applyFill="1" applyBorder="1" applyAlignment="1">
      <alignment horizontal="left" wrapText="1"/>
    </xf>
    <xf numFmtId="0" fontId="38" fillId="24" borderId="74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6" fillId="24" borderId="87" xfId="39" applyFont="1" applyFill="1" applyBorder="1" applyAlignment="1">
      <alignment horizontal="left" wrapText="1"/>
    </xf>
    <xf numFmtId="0" fontId="36" fillId="24" borderId="88" xfId="39" applyFont="1" applyFill="1" applyBorder="1" applyAlignment="1">
      <alignment horizontal="left" wrapText="1"/>
    </xf>
    <xf numFmtId="0" fontId="35" fillId="0" borderId="33" xfId="41" applyFont="1" applyBorder="1" applyAlignment="1">
      <alignment horizontal="left"/>
    </xf>
    <xf numFmtId="0" fontId="35" fillId="24" borderId="89" xfId="41" applyFont="1" applyFill="1" applyBorder="1" applyAlignment="1">
      <alignment horizontal="center" vertical="center"/>
    </xf>
    <xf numFmtId="0" fontId="35" fillId="24" borderId="90" xfId="41" applyFont="1" applyFill="1" applyBorder="1" applyAlignment="1">
      <alignment horizontal="center" vertical="center"/>
    </xf>
    <xf numFmtId="0" fontId="35" fillId="24" borderId="91" xfId="41" applyFont="1" applyFill="1" applyBorder="1" applyAlignment="1">
      <alignment horizontal="center" vertical="center"/>
    </xf>
    <xf numFmtId="0" fontId="35" fillId="24" borderId="92" xfId="41" applyFont="1" applyFill="1" applyBorder="1" applyAlignment="1">
      <alignment horizontal="center" vertical="center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6" fillId="24" borderId="93" xfId="39" applyFont="1" applyFill="1" applyBorder="1" applyAlignment="1">
      <alignment horizontal="left" wrapText="1"/>
    </xf>
    <xf numFmtId="0" fontId="36" fillId="24" borderId="94" xfId="39" applyFont="1" applyFill="1" applyBorder="1" applyAlignment="1">
      <alignment horizontal="left" wrapText="1"/>
    </xf>
    <xf numFmtId="0" fontId="36" fillId="24" borderId="95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49" fontId="38" fillId="24" borderId="96" xfId="39" applyNumberFormat="1" applyFont="1" applyFill="1" applyBorder="1" applyAlignment="1">
      <alignment horizontal="left" wrapText="1"/>
    </xf>
    <xf numFmtId="0" fontId="34" fillId="0" borderId="47" xfId="0" applyFont="1" applyBorder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Border="1" applyAlignment="1">
      <alignment horizontal="left"/>
    </xf>
    <xf numFmtId="0" fontId="38" fillId="24" borderId="78" xfId="40" applyFont="1" applyFill="1" applyBorder="1" applyAlignment="1">
      <alignment horizontal="left" wrapText="1"/>
    </xf>
    <xf numFmtId="0" fontId="38" fillId="24" borderId="44" xfId="40" applyFont="1" applyFill="1" applyBorder="1" applyAlignment="1">
      <alignment horizontal="left" wrapText="1"/>
    </xf>
    <xf numFmtId="0" fontId="38" fillId="24" borderId="79" xfId="40" applyFont="1" applyFill="1" applyBorder="1" applyAlignment="1">
      <alignment horizontal="left" wrapText="1"/>
    </xf>
    <xf numFmtId="0" fontId="35" fillId="0" borderId="0" xfId="42" applyFont="1" applyAlignment="1">
      <alignment horizontal="right"/>
    </xf>
    <xf numFmtId="0" fontId="36" fillId="24" borderId="80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6" fillId="24" borderId="80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8" fillId="24" borderId="81" xfId="40" applyFont="1" applyFill="1" applyBorder="1" applyAlignment="1">
      <alignment horizontal="left" wrapText="1"/>
    </xf>
    <xf numFmtId="0" fontId="38" fillId="24" borderId="82" xfId="40" applyFont="1" applyFill="1" applyBorder="1" applyAlignment="1">
      <alignment horizontal="left" wrapText="1"/>
    </xf>
    <xf numFmtId="0" fontId="36" fillId="24" borderId="48" xfId="42" applyFont="1" applyFill="1" applyBorder="1" applyAlignment="1">
      <alignment horizontal="center" vertical="center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83" xfId="42" applyFont="1" applyFill="1" applyBorder="1" applyAlignment="1">
      <alignment horizontal="center" vertical="center"/>
    </xf>
    <xf numFmtId="0" fontId="35" fillId="24" borderId="84" xfId="42" applyFont="1" applyFill="1" applyBorder="1" applyAlignment="1">
      <alignment horizontal="center" vertical="center"/>
    </xf>
    <xf numFmtId="0" fontId="35" fillId="24" borderId="89" xfId="42" applyFont="1" applyFill="1" applyBorder="1" applyAlignment="1">
      <alignment horizontal="center" vertical="center"/>
    </xf>
    <xf numFmtId="0" fontId="35" fillId="24" borderId="90" xfId="42" applyFont="1" applyFill="1" applyBorder="1" applyAlignment="1">
      <alignment horizontal="center" vertical="center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91" xfId="42" applyFont="1" applyFill="1" applyBorder="1" applyAlignment="1">
      <alignment horizontal="center" vertical="center"/>
    </xf>
    <xf numFmtId="0" fontId="35" fillId="24" borderId="92" xfId="42" applyFont="1" applyFill="1" applyBorder="1" applyAlignment="1">
      <alignment horizontal="center" vertical="center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49" fontId="38" fillId="24" borderId="98" xfId="39" applyNumberFormat="1" applyFont="1" applyFill="1" applyBorder="1" applyAlignment="1">
      <alignment horizontal="left" wrapText="1"/>
    </xf>
    <xf numFmtId="49" fontId="38" fillId="24" borderId="99" xfId="39" applyNumberFormat="1" applyFont="1" applyFill="1" applyBorder="1" applyAlignment="1">
      <alignment horizontal="left" wrapText="1"/>
    </xf>
    <xf numFmtId="0" fontId="36" fillId="24" borderId="77" xfId="42" applyFont="1" applyFill="1" applyBorder="1" applyAlignment="1">
      <alignment horizontal="center" vertical="center" wrapText="1"/>
    </xf>
    <xf numFmtId="0" fontId="36" fillId="24" borderId="71" xfId="42" applyFont="1" applyFill="1" applyBorder="1" applyAlignment="1">
      <alignment horizontal="center" vertical="center" wrapText="1"/>
    </xf>
    <xf numFmtId="0" fontId="36" fillId="24" borderId="72" xfId="42" applyFont="1" applyFill="1" applyBorder="1" applyAlignment="1">
      <alignment horizontal="center" vertical="center" wrapText="1"/>
    </xf>
    <xf numFmtId="0" fontId="35" fillId="24" borderId="71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76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166" fontId="45" fillId="0" borderId="11" xfId="41" applyFont="1" applyBorder="1" applyNumberFormat="1"/>
    <xf numFmtId="166" fontId="45" fillId="0" borderId="16" xfId="41" applyFont="1" applyBorder="1" applyAlignment="1" applyNumberFormat="1">
      <alignment vertical="top" wrapText="1"/>
    </xf>
    <xf numFmtId="1" fontId="24" fillId="24" borderId="23" xfId="41" applyNumberFormat="1" applyFont="1" applyFill="1" applyBorder="1" applyAlignment="1">
      <alignment vertical="top" wrapText="1"/>
    </xf>
    <xf numFmtId="49" fontId="24" fillId="24" borderId="15" xfId="41" applyNumberFormat="1" applyFont="1" applyFill="1" applyBorder="1" applyAlignment="1">
      <alignment horizontal="left" vertical="top" wrapText="1"/>
    </xf>
    <xf numFmtId="0" fontId="31" fillId="24" borderId="15" xfId="34" applyNumberFormat="1" applyFont="1" applyFill="1" applyBorder="1" applyAlignment="1" applyProtection="1">
      <alignment horizontal="left" vertical="top" wrapText="1"/>
    </xf>
    <xf numFmtId="0" fontId="24" fillId="24" borderId="17" xfId="41" applyFont="1" applyFill="1" applyBorder="1" applyAlignment="1">
      <alignment horizontal="left" vertical="top" wrapText="1"/>
    </xf>
    <xf numFmtId="166" fontId="45" fillId="24" borderId="10" xfId="41" applyNumberFormat="1" applyFont="1" applyFill="1" applyBorder="1" applyAlignment="1">
      <alignment horizontal="left" vertical="top"/>
    </xf>
    <xf numFmtId="167" fontId="35" fillId="0" borderId="33" xfId="41" applyNumberFormat="1" applyFont="1" applyBorder="1" applyAlignment="1">
      <alignment vertical="top" textRotation="255"/>
    </xf>
    <xf numFmtId="167" fontId="35" fillId="0" borderId="55" xfId="41" applyNumberFormat="1" applyFont="1" applyBorder="1" applyAlignment="1">
      <alignment vertical="top" textRotation="255"/>
    </xf>
    <xf numFmtId="167" fontId="35" fillId="0" borderId="33" xfId="42" applyNumberFormat="1" applyFont="1" applyBorder="1" applyAlignment="1">
      <alignment vertical="top" textRotation="255"/>
    </xf>
    <xf numFmtId="167" fontId="35" fillId="0" borderId="55" xfId="42" applyNumberFormat="1" applyFont="1" applyBorder="1" applyAlignment="1">
      <alignment vertical="top" textRotation="255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D1DD0B3F-A210-4700-99C4-655329EDD01F}"/>
    <cellStyle name="Normal_Sheet1" xfId="39" xr:uid="{60744BF8-D378-488A-B6AE-E4985C55A4FF}"/>
    <cellStyle name="Normal_Sheet1_Template_UnitTest Case_v0.9" xfId="40" xr:uid="{568BFEB7-C3B8-4D91-B6CA-EC14739D164F}"/>
    <cellStyle name="Normal_Template_UnitTest Case_v0.9" xfId="41" xr:uid="{7C01958B-09AE-4EE4-952C-E79F3B21F8EB}"/>
    <cellStyle name="Normal_Template_UnitTest Case_v0.9_Template_UnitTest Case_v0.9" xfId="42" xr:uid="{7CF53112-4BBB-4CDD-9BB3-DCFA092D16F7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BEF5D054-AEAF-40F9-85EF-1814CD8F42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392-492C-B92E-56B5F96BE98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92-492C-B92E-56B5F96BE98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392-492C-B92E-56B5F96BE98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92-492C-B92E-56B5F96BE98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392-492C-B92E-56B5F96BE9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392-492C-B92E-56B5F96BE98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392-492C-B92E-56B5F96BE98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392-492C-B92E-56B5F96BE98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392-492C-B92E-56B5F96BE9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392-492C-B92E-56B5F96BE9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392-492C-B92E-56B5F96BE98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392-492C-B92E-56B5F96BE98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392-492C-B92E-56B5F96BE9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392-492C-B92E-56B5F96BE9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392-492C-B92E-56B5F96BE98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92-492C-B92E-56B5F96BE986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392-492C-B92E-56B5F96BE98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392-492C-B92E-56B5F96BE98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392-492C-B92E-56B5F96BE98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392-492C-B92E-56B5F96BE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54778505858337"/>
          <c:y val="0.40362821018478595"/>
          <c:w val="9.5893698196725566E-2"/>
          <c:h val="0.30422723304972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144-4ADC-B530-866BC3E346AE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44-4ADC-B530-866BC3E346A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144-4ADC-B530-866BC3E346A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44-4ADC-B530-866BC3E346A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144-4ADC-B530-866BC3E346A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1144-4ADC-B530-866BC3E346A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144-4ADC-B530-866BC3E346A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1144-4ADC-B530-866BC3E346AE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144-4ADC-B530-866BC3E346A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1144-4ADC-B530-866BC3E346A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1144-4ADC-B530-866BC3E346A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44-4ADC-B530-866BC3E346AE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144-4ADC-B530-866BC3E346A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1144-4ADC-B530-866BC3E346A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1144-4ADC-B530-866BC3E346A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44-4ADC-B530-866BC3E346AE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144-4ADC-B530-866BC3E346AE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144-4ADC-B530-866BC3E346A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144-4ADC-B530-866BC3E346A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44-4ADC-B530-866BC3E3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95027799190219"/>
          <c:y val="0.44343865740818156"/>
          <c:w val="0.21315461073868797"/>
          <c:h val="0.28747057790599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0</xdr:col>
      <xdr:colOff>1920240</xdr:colOff>
      <xdr:row>1</xdr:row>
      <xdr:rowOff>792480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BCB55E65-7DC6-DE91-9778-DB16CA13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24</xdr:row>
      <xdr:rowOff>0</xdr:rowOff>
    </xdr:from>
    <xdr:to>
      <xdr:col>9</xdr:col>
      <xdr:colOff>0</xdr:colOff>
      <xdr:row>39</xdr:row>
      <xdr:rowOff>15240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B4F6B028-C5D4-542C-A68F-6AFECD43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24</xdr:row>
      <xdr:rowOff>22860</xdr:rowOff>
    </xdr:from>
    <xdr:to>
      <xdr:col>3</xdr:col>
      <xdr:colOff>213360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9D8E6A91-E321-17A0-E23A-D0049ED46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1071-4596-4DEC-96AE-28EEEEBCC8E3}">
  <dimension ref="A1:D49"/>
  <sheetViews>
    <sheetView zoomScale="85" zoomScaleNormal="85" workbookViewId="0"/>
  </sheetViews>
  <sheetFormatPr defaultColWidth="9" defaultRowHeight="13.8"/>
  <cols>
    <col min="1" max="1" width="119.33203125" style="159" customWidth="1"/>
    <col min="2" max="16384" width="9" style="159"/>
  </cols>
  <sheetData>
    <row r="1" spans="1:1" s="156" customFormat="1" ht="22.2">
      <c r="A1" s="155" t="s">
        <v>85</v>
      </c>
    </row>
    <row r="2" spans="1:1" s="156" customFormat="1" ht="22.2">
      <c r="A2" s="155"/>
    </row>
    <row r="3" spans="1:1" s="157" customFormat="1" ht="17.399999999999999">
      <c r="A3" s="160" t="s">
        <v>112</v>
      </c>
    </row>
    <row r="4" spans="1:1" ht="15" customHeight="1">
      <c r="A4" s="163" t="s">
        <v>83</v>
      </c>
    </row>
    <row r="5" spans="1:1" ht="15" customHeight="1">
      <c r="A5" s="163" t="s">
        <v>117</v>
      </c>
    </row>
    <row r="6" spans="1:1" ht="39.6">
      <c r="A6" s="164" t="s">
        <v>132</v>
      </c>
    </row>
    <row r="7" spans="1:1" ht="29.25" customHeight="1">
      <c r="A7" s="164" t="s">
        <v>135</v>
      </c>
    </row>
    <row r="8" spans="1:1" ht="30" customHeight="1">
      <c r="A8" s="165" t="s">
        <v>119</v>
      </c>
    </row>
    <row r="9" spans="1:1" s="168" customFormat="1" ht="16.5" customHeight="1">
      <c r="A9" s="167" t="s">
        <v>133</v>
      </c>
    </row>
    <row r="10" spans="1:1" ht="16.5" customHeight="1">
      <c r="A10" s="158"/>
    </row>
    <row r="11" spans="1:1" s="157" customFormat="1" ht="17.399999999999999">
      <c r="A11" s="160" t="s">
        <v>84</v>
      </c>
    </row>
    <row r="12" spans="1:1" s="161" customFormat="1" ht="15">
      <c r="A12" s="166" t="s">
        <v>63</v>
      </c>
    </row>
    <row r="13" spans="1:1" ht="39.6">
      <c r="A13" s="163" t="s">
        <v>120</v>
      </c>
    </row>
    <row r="14" spans="1:1">
      <c r="A14" s="163" t="s">
        <v>121</v>
      </c>
    </row>
    <row r="15" spans="1:1" ht="26.4">
      <c r="A15" s="164" t="s">
        <v>122</v>
      </c>
    </row>
    <row r="16" spans="1:1">
      <c r="A16" s="158"/>
    </row>
    <row r="17" spans="1:4" s="161" customFormat="1" ht="15">
      <c r="A17" s="166" t="s">
        <v>87</v>
      </c>
    </row>
    <row r="18" spans="1:4">
      <c r="A18" s="163" t="s">
        <v>88</v>
      </c>
      <c r="B18" s="158"/>
    </row>
    <row r="19" spans="1:4">
      <c r="A19" s="166" t="s">
        <v>123</v>
      </c>
    </row>
    <row r="20" spans="1:4">
      <c r="A20" s="163" t="s">
        <v>89</v>
      </c>
      <c r="B20" s="158"/>
    </row>
    <row r="21" spans="1:4" ht="26.4">
      <c r="A21" s="164" t="s">
        <v>90</v>
      </c>
    </row>
    <row r="22" spans="1:4">
      <c r="A22" s="163" t="s">
        <v>91</v>
      </c>
      <c r="B22" s="162"/>
    </row>
    <row r="23" spans="1:4">
      <c r="A23" s="163" t="s">
        <v>92</v>
      </c>
      <c r="B23" s="158"/>
    </row>
    <row r="24" spans="1:4">
      <c r="A24" s="163" t="s">
        <v>136</v>
      </c>
      <c r="B24" s="158"/>
    </row>
    <row r="25" spans="1:4">
      <c r="A25" s="163" t="s">
        <v>93</v>
      </c>
      <c r="B25" s="158"/>
      <c r="C25" s="158" t="s">
        <v>59</v>
      </c>
      <c r="D25" s="158" t="s">
        <v>59</v>
      </c>
    </row>
    <row r="26" spans="1:4">
      <c r="A26" s="163" t="s">
        <v>60</v>
      </c>
    </row>
    <row r="27" spans="1:4">
      <c r="A27" s="163" t="s">
        <v>113</v>
      </c>
      <c r="B27" s="158"/>
    </row>
    <row r="28" spans="1:4">
      <c r="A28" s="163" t="s">
        <v>114</v>
      </c>
    </row>
    <row r="29" spans="1:4">
      <c r="A29" s="163" t="s">
        <v>115</v>
      </c>
    </row>
    <row r="30" spans="1:4">
      <c r="A30" s="163" t="s">
        <v>116</v>
      </c>
      <c r="B30" s="158"/>
      <c r="C30" s="158" t="s">
        <v>59</v>
      </c>
    </row>
    <row r="31" spans="1:4">
      <c r="A31" s="166" t="s">
        <v>124</v>
      </c>
    </row>
    <row r="32" spans="1:4" ht="30" customHeight="1">
      <c r="A32" s="164" t="s">
        <v>94</v>
      </c>
    </row>
    <row r="33" spans="1:2">
      <c r="A33" s="163" t="s">
        <v>61</v>
      </c>
    </row>
    <row r="34" spans="1:2">
      <c r="A34" s="163" t="s">
        <v>95</v>
      </c>
    </row>
    <row r="35" spans="1:2">
      <c r="A35" s="163" t="s">
        <v>96</v>
      </c>
      <c r="B35" s="158"/>
    </row>
    <row r="36" spans="1:2">
      <c r="A36" s="163" t="s">
        <v>97</v>
      </c>
      <c r="B36" s="158"/>
    </row>
    <row r="37" spans="1:2">
      <c r="A37" s="166" t="s">
        <v>125</v>
      </c>
    </row>
    <row r="38" spans="1:2">
      <c r="A38" s="163" t="s">
        <v>98</v>
      </c>
    </row>
    <row r="39" spans="1:2" ht="39.6">
      <c r="A39" s="165" t="s">
        <v>118</v>
      </c>
      <c r="B39" s="158"/>
    </row>
    <row r="40" spans="1:2">
      <c r="A40" s="165"/>
      <c r="B40" s="158"/>
    </row>
    <row r="41" spans="1:2" s="161" customFormat="1" ht="15">
      <c r="A41" s="166" t="s">
        <v>99</v>
      </c>
    </row>
    <row r="42" spans="1:2">
      <c r="A42" s="163" t="s">
        <v>126</v>
      </c>
    </row>
    <row r="43" spans="1:2">
      <c r="A43" s="163" t="s">
        <v>127</v>
      </c>
    </row>
    <row r="44" spans="1:2">
      <c r="A44" s="163" t="s">
        <v>128</v>
      </c>
    </row>
    <row r="45" spans="1:2">
      <c r="A45" s="163" t="s">
        <v>129</v>
      </c>
    </row>
    <row r="46" spans="1:2">
      <c r="A46" s="163" t="s">
        <v>130</v>
      </c>
    </row>
    <row r="47" spans="1:2">
      <c r="A47" s="163" t="s">
        <v>131</v>
      </c>
    </row>
    <row r="48" spans="1:2">
      <c r="A48" s="158" t="s">
        <v>62</v>
      </c>
    </row>
    <row r="49" spans="1:1">
      <c r="A49" s="158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01F0-152E-4925-BAFE-04515B687F33}">
  <dimension ref="A2:F17"/>
  <sheetViews>
    <sheetView showGridLines="0" workbookViewId="0">
      <selection activeCell="E22" sqref="E22"/>
    </sheetView>
  </sheetViews>
  <sheetFormatPr defaultColWidth="9" defaultRowHeight="13.2"/>
  <cols>
    <col min="1" max="1" width="28.109375" style="24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09375" style="3" customWidth="1"/>
    <col min="7" max="16384" width="9" style="3"/>
  </cols>
  <sheetData>
    <row r="2" spans="1:6" s="2" customFormat="1" ht="75.75" customHeight="1">
      <c r="A2" s="1"/>
      <c r="B2" s="290" t="s">
        <v>138</v>
      </c>
      <c r="C2" s="290"/>
      <c r="D2" s="290"/>
      <c r="E2" s="290"/>
      <c r="F2" s="290"/>
    </row>
    <row r="3" spans="1:6">
      <c r="A3" s="4"/>
      <c r="B3" s="5"/>
      <c r="E3" s="6"/>
    </row>
    <row r="4" spans="1:6" ht="14.25" customHeight="1">
      <c r="A4" s="169" t="s">
        <v>0</v>
      </c>
      <c r="B4" s="291" t="s">
        <v>146</v>
      </c>
      <c r="C4" s="291"/>
      <c r="D4" s="291"/>
      <c r="E4" s="169" t="s">
        <v>1</v>
      </c>
      <c r="F4" s="7" t="str">
        <v>FJMS team</v>
      </c>
    </row>
    <row r="5" spans="1:6" ht="14.25" customHeight="1">
      <c r="A5" s="169" t="s">
        <v>2</v>
      </c>
      <c r="B5" s="291" t="s">
        <v>147</v>
      </c>
      <c r="C5" s="291"/>
      <c r="D5" s="291"/>
      <c r="E5" s="169" t="s">
        <v>5</v>
      </c>
      <c r="F5" s="399" t="d">
        <v>2026-10-12T00:00:00.000Z</v>
      </c>
    </row>
    <row r="6" spans="1:6" ht="15.75" customHeight="1">
      <c r="A6" s="190" t="s">
        <v>4</v>
      </c>
      <c r="B6" s="292" t="str">
        <f>B5&amp;"_UT_v"&amp;F6</f>
        <v>FJMS_UT_v1.0</v>
      </c>
      <c r="C6" s="293"/>
      <c r="D6" s="294"/>
      <c r="E6" s="169" t="s">
        <v>6</v>
      </c>
      <c r="F6" s="150" t="s">
        <v>148</v>
      </c>
    </row>
    <row r="7" spans="1:6">
      <c r="A7" s="170"/>
      <c r="B7" s="8"/>
      <c r="E7" s="9"/>
      <c r="F7" s="5"/>
    </row>
    <row r="8" spans="1:6">
      <c r="A8" s="3"/>
    </row>
    <row r="9" spans="1:6">
      <c r="A9" s="171" t="s">
        <v>7</v>
      </c>
    </row>
    <row r="10" spans="1:6" s="10" customFormat="1">
      <c r="A10" s="11" t="s">
        <v>8</v>
      </c>
      <c r="B10" s="12" t="s">
        <v>6</v>
      </c>
      <c r="C10" s="12" t="s">
        <v>9</v>
      </c>
      <c r="D10" s="12" t="s">
        <v>10</v>
      </c>
      <c r="E10" s="12" t="s">
        <v>11</v>
      </c>
      <c r="F10" s="13" t="s">
        <v>12</v>
      </c>
    </row>
    <row r="11" spans="1:6" s="14" customFormat="1" ht="26.25" customHeight="1">
      <c r="A11" s="400" t="d">
        <v>2026-10-12T00:00:00.000Z</v>
      </c>
      <c r="B11" s="15" t="s">
        <v>148</v>
      </c>
      <c r="C11" s="16" t="s">
        <v>149</v>
      </c>
      <c r="D11" s="16" t="s">
        <v>50</v>
      </c>
      <c r="E11" s="17" t="str">
        <v>45 unit tests; rerun 12 Oct 2026</v>
      </c>
      <c r="F11" s="152" t="str">
        <v>Report5 v1.0</v>
      </c>
    </row>
    <row r="12" spans="1:6" s="14" customFormat="1" ht="21.75" customHeight="1">
      <c r="A12" s="18"/>
      <c r="B12" s="15"/>
      <c r="C12" s="16"/>
      <c r="D12" s="16"/>
      <c r="E12" s="16"/>
      <c r="F12" s="19"/>
    </row>
    <row r="13" spans="1:6" s="14" customFormat="1" ht="19.5" customHeight="1">
      <c r="A13" s="18"/>
      <c r="B13" s="15"/>
      <c r="C13" s="16"/>
      <c r="D13" s="16"/>
      <c r="E13" s="16"/>
      <c r="F13" s="19"/>
    </row>
    <row r="14" spans="1:6" s="14" customFormat="1" ht="21.75" customHeight="1">
      <c r="A14" s="18"/>
      <c r="B14" s="15"/>
      <c r="C14" s="16"/>
      <c r="D14" s="16"/>
      <c r="E14" s="16"/>
      <c r="F14" s="19"/>
    </row>
    <row r="15" spans="1:6" s="14" customFormat="1" ht="19.5" customHeight="1">
      <c r="A15" s="18"/>
      <c r="B15" s="15"/>
      <c r="C15" s="16"/>
      <c r="D15" s="16"/>
      <c r="E15" s="16"/>
      <c r="F15" s="19"/>
    </row>
    <row r="16" spans="1:6" s="14" customFormat="1" ht="21.75" customHeight="1">
      <c r="A16" s="18"/>
      <c r="B16" s="15"/>
      <c r="C16" s="16"/>
      <c r="D16" s="16"/>
      <c r="E16" s="16"/>
      <c r="F16" s="19"/>
    </row>
    <row r="17" spans="1:6" s="14" customFormat="1" ht="19.5" customHeight="1">
      <c r="A17" s="20"/>
      <c r="B17" s="21"/>
      <c r="C17" s="22"/>
      <c r="D17" s="22"/>
      <c r="E17" s="22"/>
      <c r="F17" s="23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893B-1FA3-415C-803A-A78DD7E253F5}">
  <dimension ref="A2:H23"/>
  <sheetViews>
    <sheetView zoomScaleNormal="100" workbookViewId="0">
      <selection activeCell="F13" sqref="F13"/>
    </sheetView>
  </sheetViews>
  <sheetFormatPr defaultColWidth="9" defaultRowHeight="13.2"/>
  <cols>
    <col min="1" max="1" width="7.109375" style="56" customWidth="1"/>
    <col min="2" max="2" width="14.77734375" style="56" customWidth="1"/>
    <col min="3" max="3" width="9.77734375" style="56" bestFit="1" customWidth="1"/>
    <col min="4" max="4" width="12.33203125" style="26" bestFit="1" customWidth="1"/>
    <col min="5" max="5" width="21" style="27" customWidth="1"/>
    <col min="6" max="6" width="12.33203125" style="26" customWidth="1"/>
    <col min="7" max="7" width="41.77734375" style="26" customWidth="1"/>
    <col min="8" max="8" width="51.33203125" style="26" customWidth="1"/>
    <col min="9" max="16384" width="9" style="6"/>
  </cols>
  <sheetData>
    <row r="2" spans="1:8" ht="24.6">
      <c r="A2" s="25"/>
      <c r="B2" s="25"/>
      <c r="C2" s="25"/>
      <c r="E2" s="28" t="s">
        <v>137</v>
      </c>
      <c r="F2" s="28"/>
      <c r="G2" s="29"/>
    </row>
    <row r="3" spans="1:8" ht="13.5" customHeight="1">
      <c r="A3" s="25"/>
      <c r="B3" s="25"/>
      <c r="C3" s="25"/>
      <c r="F3" s="30"/>
      <c r="G3" s="30"/>
    </row>
    <row r="4" spans="1:8" ht="14.25" customHeight="1">
      <c r="A4" s="296" t="s">
        <v>0</v>
      </c>
      <c r="B4" s="296"/>
      <c r="C4" s="296"/>
      <c r="D4" s="296"/>
      <c r="E4" s="297" t="str">
        <f>Cover!B4</f>
        <v>FJMS Authentication</v>
      </c>
      <c r="F4" s="298"/>
      <c r="G4" s="298"/>
      <c r="H4" s="299"/>
    </row>
    <row r="5" spans="1:8" ht="14.25" customHeight="1">
      <c r="A5" s="296" t="s">
        <v>2</v>
      </c>
      <c r="B5" s="296"/>
      <c r="C5" s="296"/>
      <c r="D5" s="296"/>
      <c r="E5" s="297" t="str">
        <f>Cover!B5</f>
        <v>FJMS</v>
      </c>
      <c r="F5" s="298"/>
      <c r="G5" s="298"/>
      <c r="H5" s="299"/>
    </row>
    <row r="6" spans="1:8" ht="14.25" customHeight="1">
      <c r="A6" s="303" t="s">
        <v>86</v>
      </c>
      <c r="B6" s="304"/>
      <c r="C6" s="304"/>
      <c r="D6" s="305"/>
      <c r="E6" s="187" t="s">
        <v>152</v>
      </c>
      <c r="F6" s="188"/>
      <c r="G6" s="188"/>
      <c r="H6" s="189"/>
    </row>
    <row r="7" spans="1:8" s="31" customFormat="1" ht="12.75" customHeight="1">
      <c r="A7" s="295" t="s">
        <v>13</v>
      </c>
      <c r="B7" s="295"/>
      <c r="C7" s="295"/>
      <c r="D7" s="295"/>
      <c r="E7" s="300" t="str">
        <v>Local Node.js 24.19; Jest 29.7; Express; isolated SQL/email; CI Node 22.</v>
      </c>
      <c r="F7" s="301"/>
      <c r="G7" s="301"/>
      <c r="H7" s="302"/>
    </row>
    <row r="8" spans="1:8">
      <c r="A8" s="32"/>
      <c r="B8" s="32"/>
      <c r="C8" s="32"/>
      <c r="D8" s="6"/>
      <c r="E8" s="31"/>
      <c r="F8" s="6"/>
      <c r="G8" s="6"/>
      <c r="H8" s="6"/>
    </row>
    <row r="9" spans="1:8" s="36" customFormat="1">
      <c r="A9" s="33"/>
      <c r="B9" s="33"/>
      <c r="C9" s="33"/>
      <c r="D9" s="34"/>
      <c r="E9" s="35"/>
      <c r="F9" s="34"/>
      <c r="G9" s="34"/>
      <c r="H9" s="34"/>
    </row>
    <row r="10" spans="1:8" s="44" customFormat="1" ht="24" customHeight="1">
      <c r="A10" s="37" t="s">
        <v>14</v>
      </c>
      <c r="B10" s="38" t="s">
        <v>15</v>
      </c>
      <c r="C10" s="39" t="s">
        <v>16</v>
      </c>
      <c r="D10" s="40" t="s">
        <v>17</v>
      </c>
      <c r="E10" s="41" t="s">
        <v>111</v>
      </c>
      <c r="F10" s="40" t="s">
        <v>18</v>
      </c>
      <c r="G10" s="42" t="s">
        <v>19</v>
      </c>
      <c r="H10" s="43" t="s">
        <v>20</v>
      </c>
    </row>
    <row r="11" spans="1:8" ht="96" customHeight="1">
      <c r="A11" s="153">
        <v>1</v>
      </c>
      <c r="B11" s="45" t="s">
        <v>154</v>
      </c>
      <c r="C11" s="401" t="str">
        <v>authSelectedCore.js</v>
      </c>
      <c r="D11" s="46" t="s">
        <v>156</v>
      </c>
      <c r="E11" s="47" t="s">
        <v>143</v>
      </c>
      <c r="F11" s="48" t="s">
        <v>157</v>
      </c>
      <c r="G11" s="403" t="str">
        <v>15 unit cases (R01-R15): required fields, role rules, password boundaries, duplicate email/phone, database failure and successful registration.</v>
      </c>
      <c r="H11" s="404" t="str">
        <v>Reset SQL, email, bcrypt and JWT mocks before each case. Use an isolated account fixture, valid base password Aa12345!, a fixed clock and random value. Configure query results for each scenario; do not connect to a live database or SMTP service.</v>
      </c>
    </row>
    <row r="12" spans="1:8" ht="96" customHeight="1">
      <c r="A12" s="153">
        <v>2</v>
      </c>
      <c r="B12" s="45" t="s">
        <v>154</v>
      </c>
      <c r="C12" s="401" t="str">
        <v>passwordRecovery.js</v>
      </c>
      <c r="D12" s="402" t="str">
        <v>resetPassword</v>
      </c>
      <c r="E12" s="47" t="s">
        <v>144</v>
      </c>
      <c r="F12" s="48" t="s">
        <v>161</v>
      </c>
      <c r="G12" s="403" t="str">
        <v>15 unit cases (P01-P15): required fields, weak password, unknown account, invalid/used token, expiry boundaries, four SQL failures, successful writes and hashing failure.</v>
      </c>
      <c r="H12" s="404" t="str">
        <v>Reset SQL and bcrypt mocks per case. Use email test@example.com, reset token 550000 and new password Bb12345!. Fix the clock to 12 Oct 2026 UTC; prepare user_id=7 and reset_id=9 with scenario expiry. Configure each query independently; no real SQL or mailbox.</v>
      </c>
    </row>
    <row r="13" spans="1:8" ht="96" customHeight="1">
      <c r="A13" s="153">
        <v>3</v>
      </c>
      <c r="B13" s="45" t="s">
        <v>154</v>
      </c>
      <c r="C13" s="401" t="str">
        <v>authSelectedCore.js</v>
      </c>
      <c r="D13" s="46" t="s">
        <v>162</v>
      </c>
      <c r="E13" s="47" t="s">
        <v>145</v>
      </c>
      <c r="F13" s="48" t="s">
        <v>82</v>
      </c>
      <c r="G13" s="403" t="str">
        <v>15 unit cases (L01-L15): missing credentials, unknown/locked/suspended account, wrong password, unverified email, role/JWT handling and dependency failures.</v>
      </c>
      <c r="H13" s="404" t="str">
        <v>Reset SQL, email, bcrypt and JWT mocks. Prepare an ACTIVE, verified account with email test@example.com and password Aa12345!. Override status, verification, password comparison, roles or failures per case; isolate token writes.</v>
      </c>
    </row>
    <row r="14" spans="1:8">
      <c r="A14" s="153"/>
      <c r="B14" s="45"/>
      <c r="C14" s="45"/>
      <c r="D14" s="46"/>
      <c r="E14" s="47"/>
      <c r="F14" s="48"/>
      <c r="G14" s="48"/>
      <c r="H14" s="49"/>
    </row>
    <row r="15" spans="1:8">
      <c r="A15" s="153"/>
      <c r="B15" s="45"/>
      <c r="C15" s="45"/>
      <c r="D15" s="46"/>
      <c r="E15" s="47"/>
      <c r="F15" s="48"/>
      <c r="G15" s="48"/>
      <c r="H15" s="49"/>
    </row>
    <row r="16" spans="1:8">
      <c r="A16" s="153"/>
      <c r="B16" s="45"/>
      <c r="C16" s="45"/>
      <c r="D16" s="46"/>
      <c r="E16" s="47"/>
      <c r="F16" s="50"/>
      <c r="G16" s="50"/>
      <c r="H16" s="49"/>
    </row>
    <row r="17" spans="1:8">
      <c r="A17" s="153"/>
      <c r="B17" s="45"/>
      <c r="C17" s="45"/>
      <c r="D17" s="46"/>
      <c r="E17" s="47"/>
      <c r="F17" s="50"/>
      <c r="G17" s="50"/>
      <c r="H17" s="49"/>
    </row>
    <row r="18" spans="1:8">
      <c r="A18" s="153"/>
      <c r="B18" s="45"/>
      <c r="C18" s="45"/>
      <c r="D18" s="46"/>
      <c r="E18" s="47"/>
      <c r="F18" s="50"/>
      <c r="G18" s="50"/>
      <c r="H18" s="49"/>
    </row>
    <row r="19" spans="1:8">
      <c r="A19" s="153"/>
      <c r="B19" s="45"/>
      <c r="C19" s="45"/>
      <c r="D19" s="46"/>
      <c r="E19" s="47"/>
      <c r="F19" s="50"/>
      <c r="G19" s="50"/>
      <c r="H19" s="49"/>
    </row>
    <row r="20" spans="1:8">
      <c r="A20" s="153"/>
      <c r="B20" s="45"/>
      <c r="C20" s="45"/>
      <c r="D20" s="46"/>
      <c r="E20" s="47"/>
      <c r="F20" s="50"/>
      <c r="G20" s="50"/>
      <c r="H20" s="49"/>
    </row>
    <row r="21" spans="1:8">
      <c r="A21" s="153"/>
      <c r="B21" s="45"/>
      <c r="C21" s="45"/>
      <c r="D21" s="46"/>
      <c r="E21" s="47"/>
      <c r="F21" s="50"/>
      <c r="G21" s="50"/>
      <c r="H21" s="49"/>
    </row>
    <row r="22" spans="1:8">
      <c r="A22" s="153"/>
      <c r="B22" s="45"/>
      <c r="C22" s="45"/>
      <c r="D22" s="46"/>
      <c r="E22" s="47"/>
      <c r="F22" s="50"/>
      <c r="G22" s="50"/>
      <c r="H22" s="49"/>
    </row>
    <row r="23" spans="1:8">
      <c r="A23" s="154"/>
      <c r="B23" s="51"/>
      <c r="C23" s="51"/>
      <c r="D23" s="52"/>
      <c r="E23" s="53"/>
      <c r="F23" s="54"/>
      <c r="G23" s="54"/>
      <c r="H23" s="55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'Function 1'!A1" display="Function1" xr:uid="{5BEEED04-E582-49FE-B283-83315647057C}"/>
    <hyperlink ref="F12" location="'Function 2'!A1" display="Function2" xr:uid="{0D46567A-4C55-4A95-B0DF-BD2BB8F282F8}"/>
    <hyperlink ref="F13" location="'Function3'!A1" display="Function3" xr:uid="{46C00E05-D69F-46D6-A86E-074263041F5F}"/>
    <hyperlink ref="G11" location="'Function 1'!A9" tooltip="Open the 15 unit test cases"/>
    <hyperlink ref="G12" location="'Function 2'!A9" tooltip="Open the 15 unit test cases"/>
    <hyperlink ref="G13" location="'Function3'!A9" tooltip="Open the 15 unit test cases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C506-4AF8-4CCE-8265-D1E944B5B3DF}">
  <dimension ref="A2:I23"/>
  <sheetViews>
    <sheetView topLeftCell="A9" workbookViewId="0">
      <selection activeCell="G42" sqref="G42"/>
    </sheetView>
  </sheetViews>
  <sheetFormatPr defaultColWidth="9" defaultRowHeight="13.2"/>
  <cols>
    <col min="1" max="1" width="15.33203125" style="6" customWidth="1"/>
    <col min="2" max="2" width="26.6640625" style="6" customWidth="1"/>
    <col min="3" max="3" width="12.109375" style="6" customWidth="1"/>
    <col min="4" max="4" width="9.6640625" style="6" customWidth="1"/>
    <col min="5" max="5" width="9.77734375" style="6" customWidth="1"/>
    <col min="6" max="8" width="5.109375" style="6" customWidth="1"/>
    <col min="9" max="9" width="21" style="6" customWidth="1"/>
    <col min="10" max="10" width="33.109375" style="6" customWidth="1"/>
    <col min="11" max="16384" width="9" style="6"/>
  </cols>
  <sheetData>
    <row r="2" spans="1:9" ht="25.5" customHeight="1">
      <c r="A2" s="286" t="s">
        <v>21</v>
      </c>
      <c r="B2" s="286"/>
      <c r="C2" s="286"/>
      <c r="D2" s="286"/>
      <c r="E2" s="286"/>
      <c r="F2" s="286"/>
      <c r="G2" s="286"/>
      <c r="H2" s="286"/>
      <c r="I2" s="286"/>
    </row>
    <row r="3" spans="1:9" ht="14.25" customHeight="1">
      <c r="A3" s="57"/>
      <c r="B3" s="58"/>
      <c r="C3" s="58"/>
      <c r="D3" s="58"/>
      <c r="E3" s="58"/>
      <c r="F3" s="58"/>
      <c r="G3" s="58"/>
      <c r="H3" s="58"/>
      <c r="I3" s="59"/>
    </row>
    <row r="4" spans="1:9" ht="13.5" customHeight="1">
      <c r="A4" s="186" t="s">
        <v>0</v>
      </c>
      <c r="B4" s="283" t="str">
        <f>Cover!B4</f>
        <v>FJMS Authentication</v>
      </c>
      <c r="C4" s="283"/>
      <c r="D4" s="284" t="s">
        <v>1</v>
      </c>
      <c r="E4" s="284"/>
      <c r="F4" s="287" t="str">
        <v>FJMS team</v>
      </c>
      <c r="G4" s="288"/>
      <c r="H4" s="288"/>
      <c r="I4" s="289"/>
    </row>
    <row r="5" spans="1:9" ht="13.5" customHeight="1">
      <c r="A5" s="186" t="s">
        <v>2</v>
      </c>
      <c r="B5" s="283" t="str">
        <f>Cover!B5</f>
        <v>FJMS</v>
      </c>
      <c r="C5" s="283"/>
      <c r="D5" s="284" t="s">
        <v>3</v>
      </c>
      <c r="E5" s="284"/>
      <c r="F5" s="287" t="str">
        <v>Pending</v>
      </c>
      <c r="G5" s="288"/>
      <c r="H5" s="288"/>
      <c r="I5" s="289"/>
    </row>
    <row r="6" spans="1:9" ht="12.75" customHeight="1">
      <c r="A6" s="190" t="s">
        <v>4</v>
      </c>
      <c r="B6" s="283" t="str">
        <f>Cover!B6</f>
        <v>FJMS_UT_v1.0</v>
      </c>
      <c r="C6" s="283"/>
      <c r="D6" s="284" t="s">
        <v>5</v>
      </c>
      <c r="E6" s="284"/>
      <c r="F6" s="405" t="d">
        <v>2026-10-12T00:00:00.000Z</v>
      </c>
      <c r="G6" s="281"/>
      <c r="H6" s="281"/>
      <c r="I6" s="282"/>
    </row>
    <row r="7" spans="1:9" ht="15.75" customHeight="1">
      <c r="A7" s="190" t="s">
        <v>22</v>
      </c>
      <c r="B7" s="285" t="str">
        <v>45 unit Passed; 3 IT Passed + 5 ST/AT Pending in Test Report. Code coverage: evidence/coverage.</v>
      </c>
      <c r="C7" s="285"/>
      <c r="D7" s="285"/>
      <c r="E7" s="285"/>
      <c r="F7" s="285"/>
      <c r="G7" s="285"/>
      <c r="H7" s="285"/>
      <c r="I7" s="285"/>
    </row>
    <row r="8" spans="1:9" ht="14.25" customHeight="1">
      <c r="A8" s="60"/>
      <c r="B8" s="61"/>
      <c r="C8" s="58"/>
      <c r="D8" s="58"/>
      <c r="E8" s="58"/>
      <c r="F8" s="58"/>
      <c r="G8" s="58"/>
      <c r="H8" s="58"/>
      <c r="I8" s="59"/>
    </row>
    <row r="9" spans="1:9">
      <c r="A9" s="60"/>
      <c r="B9" s="61"/>
      <c r="C9" s="58"/>
      <c r="D9" s="58"/>
      <c r="E9" s="58"/>
      <c r="F9" s="58"/>
      <c r="G9" s="58"/>
      <c r="H9" s="58"/>
      <c r="I9" s="59"/>
    </row>
    <row r="11" spans="1:9" ht="14.25" customHeight="1">
      <c r="A11" s="62" t="s">
        <v>14</v>
      </c>
      <c r="B11" s="63" t="s">
        <v>134</v>
      </c>
      <c r="C11" s="64" t="s">
        <v>23</v>
      </c>
      <c r="D11" s="63" t="s">
        <v>24</v>
      </c>
      <c r="E11" s="65" t="s">
        <v>25</v>
      </c>
      <c r="F11" s="65" t="s">
        <v>48</v>
      </c>
      <c r="G11" s="65" t="s">
        <v>50</v>
      </c>
      <c r="H11" s="65" t="s">
        <v>49</v>
      </c>
      <c r="I11" s="66" t="s">
        <v>26</v>
      </c>
    </row>
    <row r="12" spans="1:9">
      <c r="A12" s="67">
        <v>1</v>
      </c>
      <c r="B12" s="174" t="s">
        <v>143</v>
      </c>
      <c r="C12" s="68" t="n">
        <f>'Function 1'!A7</f>
        <v>15</v>
      </c>
      <c r="D12" s="68" t="n">
        <f>'Function 1'!C7</f>
        <v>0</v>
      </c>
      <c r="E12" s="68" t="n">
        <f>'Function 1'!F7</f>
        <v>0</v>
      </c>
      <c r="F12" s="69" t="n">
        <f>'Function 1'!L7</f>
        <v>1</v>
      </c>
      <c r="G12" s="68" t="n">
        <f>'Function 1'!M7</f>
        <v>12</v>
      </c>
      <c r="H12" s="68" t="n">
        <f>'Function 1'!N7</f>
        <v>2</v>
      </c>
      <c r="I12" s="68" t="n">
        <f>'Function 1'!O7</f>
        <v>15</v>
      </c>
    </row>
    <row r="13" spans="1:9">
      <c r="A13" s="67">
        <v>2</v>
      </c>
      <c r="B13" s="174" t="s">
        <v>144</v>
      </c>
      <c r="C13" s="68" t="n">
        <f>'Function 2'!A7</f>
        <v>15</v>
      </c>
      <c r="D13" s="68" t="n">
        <f>'Function 2'!C7</f>
        <v>0</v>
      </c>
      <c r="E13" s="68" t="n">
        <f>'Function 2'!F7</f>
        <v>0</v>
      </c>
      <c r="F13" s="69" t="n">
        <f>'Function 2'!L7</f>
        <v>0</v>
      </c>
      <c r="G13" s="68" t="n">
        <f>'Function 2'!M7</f>
        <v>11</v>
      </c>
      <c r="H13" s="68" t="n">
        <f>'Function 2'!N7</f>
        <v>4</v>
      </c>
      <c r="I13" s="68" t="n">
        <f>'Function 2'!O7</f>
        <v>15</v>
      </c>
    </row>
    <row r="14" spans="1:9">
      <c r="A14" s="67">
        <v>3</v>
      </c>
      <c r="B14" s="174" t="s">
        <v>145</v>
      </c>
      <c r="C14" s="68" t="n">
        <f>Function3!A7</f>
        <v>15</v>
      </c>
      <c r="D14" s="68" t="n">
        <f>Function3!C7</f>
        <v>0</v>
      </c>
      <c r="E14" s="68" t="n">
        <f>Function3!F7</f>
        <v>0</v>
      </c>
      <c r="F14" s="69" t="n">
        <f>Function3!L7</f>
        <v>4</v>
      </c>
      <c r="G14" s="68" t="n">
        <f>Function3!M7</f>
        <v>11</v>
      </c>
      <c r="H14" s="68" t="n">
        <f>Function3!N7</f>
        <v>0</v>
      </c>
      <c r="I14" s="68" t="n">
        <f>Function3!O7</f>
        <v>15</v>
      </c>
    </row>
    <row r="15" spans="1:9" ht="13.8">
      <c r="A15" s="67"/>
      <c r="B15" s="172"/>
      <c r="C15" s="68"/>
      <c r="D15" s="68"/>
      <c r="E15" s="68"/>
      <c r="F15" s="69"/>
      <c r="G15" s="68"/>
      <c r="H15" s="68"/>
      <c r="I15" s="68"/>
    </row>
    <row r="16" spans="1:9" ht="13.8">
      <c r="A16" s="67"/>
      <c r="B16" s="172"/>
      <c r="C16" s="68"/>
      <c r="D16" s="68"/>
      <c r="E16" s="68"/>
      <c r="F16" s="69"/>
      <c r="G16" s="68"/>
      <c r="H16" s="68"/>
      <c r="I16" s="68"/>
    </row>
    <row r="17" spans="1:9" ht="13.8">
      <c r="A17" s="70"/>
      <c r="B17" s="173" t="s">
        <v>27</v>
      </c>
      <c r="C17" s="71" t="n">
        <f t="shared" ref="C17:I17" si="0">SUM(C10:C16)</f>
        <v>45</v>
      </c>
      <c r="D17" s="71">
        <f t="shared" si="0"/>
        <v>0</v>
      </c>
      <c r="E17" s="71">
        <f t="shared" si="0"/>
        <v>0</v>
      </c>
      <c r="F17" s="71" t="n">
        <f t="shared" si="0">SUM(F12:F14)</f>
        <v>5</v>
      </c>
      <c r="G17" s="71" t="n">
        <f t="shared" si="0">SUM(G12:G14)</f>
        <v>34</v>
      </c>
      <c r="H17" s="71" t="n">
        <f t="shared" si="0">SUM(H12:H14)</f>
        <v>6</v>
      </c>
      <c r="I17" s="71">
        <f t="shared" si="0"/>
        <v>45</v>
      </c>
    </row>
    <row r="18" spans="1:9">
      <c r="A18" s="72"/>
      <c r="C18" s="73"/>
      <c r="D18" s="74"/>
      <c r="E18" s="74"/>
      <c r="F18" s="74"/>
      <c r="G18" s="74"/>
      <c r="H18" s="74"/>
      <c r="I18" s="74"/>
    </row>
    <row r="19" spans="1:9">
      <c r="B19" s="191" t="s">
        <v>28</v>
      </c>
      <c r="D19" s="192" t="n">
        <f>(C17+D17)*100/(I17)</f>
        <v>100</v>
      </c>
      <c r="E19" s="6" t="s">
        <v>29</v>
      </c>
      <c r="I19" s="75"/>
    </row>
    <row r="20" spans="1:9">
      <c r="B20" s="191" t="s">
        <v>30</v>
      </c>
      <c r="D20" s="192" t="n">
        <f>C17*100/(I17)</f>
        <v>100</v>
      </c>
      <c r="E20" s="6" t="s">
        <v>29</v>
      </c>
      <c r="I20" s="75"/>
    </row>
    <row r="21" spans="1:9">
      <c r="B21" s="191" t="s">
        <v>31</v>
      </c>
      <c r="D21" s="192" t="n">
        <f>F17*100/I17</f>
        <v>11.11111111111111</v>
      </c>
      <c r="E21" s="6" t="s">
        <v>29</v>
      </c>
    </row>
    <row r="22" spans="1:9">
      <c r="B22" s="191" t="s">
        <v>32</v>
      </c>
      <c r="D22" s="192" t="n">
        <f>G17*100/I17</f>
        <v>75.55555555555556</v>
      </c>
      <c r="E22" s="6" t="s">
        <v>29</v>
      </c>
    </row>
    <row r="23" spans="1:9">
      <c r="B23" s="191" t="s">
        <v>33</v>
      </c>
      <c r="D23" s="192" t="n">
        <f>H17*100/I17</f>
        <v>13.333333333333334</v>
      </c>
      <c r="E23" s="6" t="s">
        <v>29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5D647199-77AF-43D7-871B-2CB37E4C2F4F}"/>
    <hyperlink ref="B13" location="Function2!A1" display="Function2" xr:uid="{6193D67D-F1DA-4E65-8A9C-947E7226AA8E}"/>
    <hyperlink ref="B14" location="Function2!A1" display="Function2" xr:uid="{36F5FBED-A189-4FE9-B457-3757EA853878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A879-FB72-441D-9550-0416394F923B}">
  <dimension ref="A1:W43"/>
  <sheetViews>
    <sheetView workbookViewId="0">
      <pane ySplit="9" topLeftCell="A10" activePane="bottomLeft" state="frozen"/>
      <selection pane="bottomLeft"/>
    </sheetView>
  </sheetViews>
  <sheetFormatPr defaultColWidth="9" defaultRowHeight="13.5" customHeight="1"/>
  <cols>
    <col min="1" max="1" width="8.109375" style="78" customWidth="1"/>
    <col min="2" max="2" width="13.33203125" style="82" customWidth="1"/>
    <col min="3" max="3" width="10.77734375" style="78" customWidth="1"/>
    <col min="4" max="4" width="11.33203125" style="79" customWidth="1"/>
    <col min="5" max="5" width="1.77734375" style="78" hidden="1" customWidth="1"/>
    <col min="6" max="7" width="2.77734375" style="78" bestFit="1" customWidth="1"/>
    <col min="8" max="8" width="2.77734375" style="78" customWidth="1"/>
    <col min="9" max="10" width="2.77734375" style="78" bestFit="1" customWidth="1"/>
    <col min="11" max="19" width="2.77734375" style="78" customWidth="1"/>
    <col min="20" max="20" width="2.77734375" style="78" bestFit="1" customWidth="1"/>
    <col min="21" max="21" width="2.77734375" style="78" customWidth="1"/>
    <col min="22" max="16384" width="9" style="78"/>
  </cols>
  <sheetData>
    <row r="1" spans="1:23" ht="13.5" customHeight="1" thickBot="1">
      <c r="A1" s="76"/>
      <c r="B1" s="77"/>
    </row>
    <row r="2" spans="1:23" ht="13.5" customHeight="1">
      <c r="A2" s="337" t="s">
        <v>69</v>
      </c>
      <c r="B2" s="338"/>
      <c r="C2" s="339" t="str">
        <f>Functions!E11</f>
        <v>AUTH01</v>
      </c>
      <c r="D2" s="340"/>
      <c r="E2" s="341"/>
      <c r="F2" s="342" t="s">
        <v>17</v>
      </c>
      <c r="G2" s="343"/>
      <c r="H2" s="343"/>
      <c r="I2" s="343"/>
      <c r="J2" s="343"/>
      <c r="K2" s="343"/>
      <c r="L2" s="309" t="str">
        <f>Functions!D11</f>
        <v>register</v>
      </c>
      <c r="M2" s="310"/>
      <c r="N2" s="310"/>
      <c r="O2" s="310"/>
      <c r="P2" s="310"/>
      <c r="Q2" s="310"/>
      <c r="R2" s="310"/>
      <c r="S2" s="310"/>
      <c r="T2" s="311"/>
      <c r="V2" s="80"/>
    </row>
    <row r="3" spans="1:23" ht="13.5" customHeight="1">
      <c r="A3" s="330" t="s">
        <v>70</v>
      </c>
      <c r="B3" s="331"/>
      <c r="C3" s="325" t="str">
        <v>FJMS team</v>
      </c>
      <c r="D3" s="312"/>
      <c r="E3" s="326"/>
      <c r="F3" s="315" t="s">
        <v>71</v>
      </c>
      <c r="G3" s="316"/>
      <c r="H3" s="316"/>
      <c r="I3" s="316"/>
      <c r="J3" s="316"/>
      <c r="K3" s="317"/>
      <c r="L3" s="312" t="str">
        <v>Jest</v>
      </c>
      <c r="M3" s="312"/>
      <c r="N3" s="312"/>
      <c r="O3" s="181"/>
      <c r="P3" s="181"/>
      <c r="Q3" s="181"/>
      <c r="R3" s="181"/>
      <c r="S3" s="181"/>
      <c r="T3" s="182"/>
    </row>
    <row r="4" spans="1:23" ht="13.5" customHeight="1">
      <c r="A4" s="330" t="s">
        <v>72</v>
      </c>
      <c r="B4" s="331"/>
      <c r="C4" s="349">
        <v>89</v>
      </c>
      <c r="D4" s="350"/>
      <c r="E4" s="193"/>
      <c r="F4" s="315" t="s">
        <v>73</v>
      </c>
      <c r="G4" s="316"/>
      <c r="H4" s="316"/>
      <c r="I4" s="316"/>
      <c r="J4" s="316"/>
      <c r="K4" s="317"/>
      <c r="L4" s="318" t="str">
        <f xml:space="preserve"> IF(Functions!E6&lt;&gt;"N/A",SUM(C4*Functions!E6/1000,- O7),"N/A")</f>
        <v>N/A</v>
      </c>
      <c r="M4" s="319"/>
      <c r="N4" s="319"/>
      <c r="O4" s="319"/>
      <c r="P4" s="319"/>
      <c r="Q4" s="319"/>
      <c r="R4" s="319"/>
      <c r="S4" s="319"/>
      <c r="T4" s="320"/>
      <c r="V4" s="80"/>
    </row>
    <row r="5" spans="1:23" ht="13.5" customHeight="1">
      <c r="A5" s="330" t="s">
        <v>74</v>
      </c>
      <c r="B5" s="331"/>
      <c r="C5" s="332" t="s">
        <v>163</v>
      </c>
      <c r="D5" s="332"/>
      <c r="E5" s="332"/>
      <c r="F5" s="333"/>
      <c r="G5" s="333"/>
      <c r="H5" s="333"/>
      <c r="I5" s="333"/>
      <c r="J5" s="333"/>
      <c r="K5" s="333"/>
      <c r="L5" s="332"/>
      <c r="M5" s="332"/>
      <c r="N5" s="332"/>
      <c r="O5" s="332"/>
      <c r="P5" s="332"/>
      <c r="Q5" s="332"/>
      <c r="R5" s="332"/>
      <c r="S5" s="332"/>
      <c r="T5" s="332"/>
    </row>
    <row r="6" spans="1:23" ht="13.5" customHeight="1">
      <c r="A6" s="328" t="s">
        <v>23</v>
      </c>
      <c r="B6" s="329"/>
      <c r="C6" s="313" t="s">
        <v>24</v>
      </c>
      <c r="D6" s="307"/>
      <c r="E6" s="314"/>
      <c r="F6" s="313" t="s">
        <v>25</v>
      </c>
      <c r="G6" s="307"/>
      <c r="H6" s="307"/>
      <c r="I6" s="307"/>
      <c r="J6" s="307"/>
      <c r="K6" s="321"/>
      <c r="L6" s="307" t="s">
        <v>75</v>
      </c>
      <c r="M6" s="307"/>
      <c r="N6" s="307"/>
      <c r="O6" s="306" t="s">
        <v>26</v>
      </c>
      <c r="P6" s="307"/>
      <c r="Q6" s="307"/>
      <c r="R6" s="307"/>
      <c r="S6" s="307"/>
      <c r="T6" s="308"/>
      <c r="V6" s="80"/>
    </row>
    <row r="7" spans="1:23" ht="13.5" customHeight="1" thickBot="1">
      <c r="A7" s="348" t="n">
        <f>COUNTIF(F40:HQ40,"P")</f>
        <v>15</v>
      </c>
      <c r="B7" s="347"/>
      <c r="C7" s="345" t="n">
        <f>COUNTIF(F40:HQ40,"F")</f>
        <v>0</v>
      </c>
      <c r="D7" s="335"/>
      <c r="E7" s="347"/>
      <c r="F7" s="345" t="n">
        <f>SUM(O7,- A7,- C7)</f>
        <v>0</v>
      </c>
      <c r="G7" s="335"/>
      <c r="H7" s="335"/>
      <c r="I7" s="335"/>
      <c r="J7" s="335"/>
      <c r="K7" s="346"/>
      <c r="L7" s="183" t="n">
        <f>COUNTIF(E39:HQ39,"N")</f>
        <v>1</v>
      </c>
      <c r="M7" s="183" t="n">
        <f>COUNTIF(E39:HQ39,"A")</f>
        <v>12</v>
      </c>
      <c r="N7" s="183" t="n">
        <f>COUNTIF(E39:HQ39,"B")</f>
        <v>2</v>
      </c>
      <c r="O7" s="334" t="n">
        <f>COUNTA(E9:HT9)</f>
        <v>15</v>
      </c>
      <c r="P7" s="335"/>
      <c r="Q7" s="335"/>
      <c r="R7" s="335"/>
      <c r="S7" s="335"/>
      <c r="T7" s="336"/>
      <c r="U7" s="81"/>
    </row>
    <row r="8" spans="1:23" ht="10.8" thickBot="1"/>
    <row r="9" spans="1:23" ht="46.5" customHeight="1" thickTop="1" thickBot="1">
      <c r="A9" s="241"/>
      <c r="B9" s="242"/>
      <c r="C9" s="243"/>
      <c r="D9" s="244"/>
      <c r="E9" s="243"/>
      <c r="F9" s="245" t="s">
        <v>164</v>
      </c>
      <c r="G9" s="245" t="s">
        <v>165</v>
      </c>
      <c r="H9" s="245" t="s">
        <v>166</v>
      </c>
      <c r="I9" s="245" t="s">
        <v>167</v>
      </c>
      <c r="J9" s="245" t="s">
        <v>168</v>
      </c>
      <c r="K9" s="245" t="s">
        <v>169</v>
      </c>
      <c r="L9" s="245" t="s">
        <v>170</v>
      </c>
      <c r="M9" s="245" t="s">
        <v>171</v>
      </c>
      <c r="N9" s="245" t="s">
        <v>172</v>
      </c>
      <c r="O9" s="245" t="s">
        <v>173</v>
      </c>
      <c r="P9" s="245" t="s">
        <v>174</v>
      </c>
      <c r="Q9" s="245" t="s">
        <v>175</v>
      </c>
      <c r="R9" s="245" t="s">
        <v>176</v>
      </c>
      <c r="S9" s="245" t="s">
        <v>177</v>
      </c>
      <c r="T9" s="246" t="s">
        <v>178</v>
      </c>
      <c r="U9" s="83"/>
      <c r="V9" s="80"/>
    </row>
    <row r="10" spans="1:23" ht="13.5" customHeight="1">
      <c r="A10" s="222" t="s">
        <v>76</v>
      </c>
      <c r="B10" s="223" t="s">
        <v>77</v>
      </c>
      <c r="C10" s="224"/>
      <c r="D10" s="225"/>
      <c r="E10" s="89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210"/>
    </row>
    <row r="11" spans="1:23" ht="13.5" customHeight="1">
      <c r="A11" s="208"/>
      <c r="B11" s="84"/>
      <c r="C11" s="85"/>
      <c r="D11" s="86" t="s">
        <v>179</v>
      </c>
      <c r="E11" s="89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207"/>
      <c r="V11" s="80"/>
    </row>
    <row r="12" spans="1:23" ht="13.5" customHeight="1">
      <c r="A12" s="208"/>
      <c r="B12" s="84"/>
      <c r="C12" s="85"/>
      <c r="D12" s="86" t="s">
        <v>180</v>
      </c>
      <c r="E12" s="89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207"/>
    </row>
    <row r="13" spans="1:23" ht="13.5" customHeight="1">
      <c r="A13" s="208"/>
      <c r="B13" s="84"/>
      <c r="C13" s="85"/>
      <c r="D13" s="86" t="s">
        <v>181</v>
      </c>
      <c r="E13" s="90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207"/>
    </row>
    <row r="14" spans="1:23" ht="13.5" customHeight="1">
      <c r="A14" s="208"/>
      <c r="B14" s="84" t="s">
        <v>182</v>
      </c>
      <c r="C14" s="85"/>
      <c r="D14" s="86"/>
      <c r="E14" s="91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207"/>
    </row>
    <row r="15" spans="1:23" ht="13.5" customHeight="1">
      <c r="A15" s="208"/>
      <c r="B15" s="84"/>
      <c r="C15" s="85"/>
      <c r="D15" s="86" t="s">
        <v>183</v>
      </c>
      <c r="E15" s="91"/>
      <c r="F15" s="175" t="s">
        <v>106</v>
      </c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207"/>
      <c r="U15"/>
      <c r="V15"/>
      <c r="W15"/>
    </row>
    <row r="16" spans="1:23" ht="13.5" customHeight="1">
      <c r="A16" s="208"/>
      <c r="B16" s="84"/>
      <c r="C16" s="85"/>
      <c r="D16" s="86" t="s">
        <v>184</v>
      </c>
      <c r="E16" s="91"/>
      <c r="F16" s="175"/>
      <c r="G16" s="175" t="s">
        <v>106</v>
      </c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207"/>
      <c r="U16"/>
      <c r="V16"/>
      <c r="W16"/>
    </row>
    <row r="17" spans="1:23" ht="13.5" customHeight="1">
      <c r="A17" s="208"/>
      <c r="B17" s="84"/>
      <c r="C17" s="85"/>
      <c r="D17" s="86" t="s">
        <v>185</v>
      </c>
      <c r="E17" s="91"/>
      <c r="F17" s="175"/>
      <c r="G17" s="175"/>
      <c r="H17" s="175" t="s">
        <v>106</v>
      </c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207"/>
      <c r="U17" s="176"/>
      <c r="V17"/>
      <c r="W17"/>
    </row>
    <row r="18" spans="1:23" ht="13.5" customHeight="1">
      <c r="A18" s="208"/>
      <c r="B18" s="84"/>
      <c r="C18" s="85"/>
      <c r="D18" s="86" t="s">
        <v>186</v>
      </c>
      <c r="E18" s="91"/>
      <c r="F18" s="175"/>
      <c r="G18" s="175"/>
      <c r="H18" s="175"/>
      <c r="I18" s="175" t="s">
        <v>106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207"/>
      <c r="U18" s="176"/>
      <c r="V18"/>
      <c r="W18"/>
    </row>
    <row r="19" spans="1:23" ht="13.5" customHeight="1">
      <c r="A19" s="208"/>
      <c r="B19" s="84"/>
      <c r="C19" s="85"/>
      <c r="D19" s="327" t="s">
        <v>187</v>
      </c>
      <c r="E19" s="327"/>
      <c r="F19" s="175"/>
      <c r="G19" s="175"/>
      <c r="H19" s="175"/>
      <c r="I19" s="175"/>
      <c r="J19" s="175" t="s">
        <v>106</v>
      </c>
      <c r="K19" s="175"/>
      <c r="L19" s="175"/>
      <c r="M19" s="175"/>
      <c r="N19" s="175"/>
      <c r="O19" s="175"/>
      <c r="P19" s="175"/>
      <c r="Q19" s="175"/>
      <c r="R19" s="175"/>
      <c r="S19" s="175"/>
      <c r="T19" s="207"/>
      <c r="U19"/>
      <c r="V19"/>
      <c r="W19"/>
    </row>
    <row r="20" spans="1:23" ht="13.5" customHeight="1">
      <c r="A20" s="208"/>
      <c r="B20" s="84"/>
      <c r="C20" s="85"/>
      <c r="D20" s="86" t="s">
        <v>188</v>
      </c>
      <c r="E20" s="91"/>
      <c r="F20" s="175"/>
      <c r="G20" s="175"/>
      <c r="H20" s="175"/>
      <c r="I20" s="175"/>
      <c r="J20" s="175"/>
      <c r="K20" s="175" t="s">
        <v>106</v>
      </c>
      <c r="L20" s="175"/>
      <c r="M20" s="175"/>
      <c r="N20" s="175"/>
      <c r="O20" s="175"/>
      <c r="P20" s="175"/>
      <c r="Q20" s="175"/>
      <c r="R20" s="175"/>
      <c r="S20" s="175"/>
      <c r="T20" s="207"/>
      <c r="U20"/>
      <c r="V20"/>
      <c r="W20"/>
    </row>
    <row r="21" spans="1:23" ht="13.5" customHeight="1">
      <c r="A21" s="208"/>
      <c r="B21" s="84"/>
      <c r="C21" s="85"/>
      <c r="D21" s="86" t="s">
        <v>189</v>
      </c>
      <c r="E21" s="91"/>
      <c r="F21" s="175"/>
      <c r="G21" s="175"/>
      <c r="H21" s="175"/>
      <c r="I21" s="175"/>
      <c r="J21" s="175"/>
      <c r="K21" s="175"/>
      <c r="L21" s="175" t="s">
        <v>106</v>
      </c>
      <c r="M21" s="175"/>
      <c r="N21" s="175"/>
      <c r="O21" s="175"/>
      <c r="P21" s="175"/>
      <c r="Q21" s="175"/>
      <c r="R21" s="175"/>
      <c r="S21" s="175"/>
      <c r="T21" s="207"/>
      <c r="U21"/>
      <c r="V21"/>
      <c r="W21"/>
    </row>
    <row r="22" spans="1:23" ht="13.5" customHeight="1">
      <c r="A22" s="208"/>
      <c r="B22" s="84"/>
      <c r="C22" s="85"/>
      <c r="D22" s="86" t="s">
        <v>190</v>
      </c>
      <c r="E22" s="91"/>
      <c r="F22" s="175"/>
      <c r="G22" s="175"/>
      <c r="H22" s="175"/>
      <c r="I22" s="175"/>
      <c r="J22" s="175"/>
      <c r="K22" s="175"/>
      <c r="L22" s="175"/>
      <c r="M22" s="175" t="s">
        <v>106</v>
      </c>
      <c r="N22" s="175"/>
      <c r="O22" s="175"/>
      <c r="P22" s="175"/>
      <c r="Q22" s="175"/>
      <c r="R22" s="175"/>
      <c r="S22" s="175"/>
      <c r="T22" s="207"/>
      <c r="U22"/>
      <c r="V22"/>
      <c r="W22"/>
    </row>
    <row r="23" spans="1:23" ht="13.5" customHeight="1">
      <c r="A23" s="208"/>
      <c r="B23" s="84"/>
      <c r="C23" s="85"/>
      <c r="D23" s="86" t="s">
        <v>191</v>
      </c>
      <c r="E23" s="91"/>
      <c r="F23" s="175"/>
      <c r="G23" s="175"/>
      <c r="H23" s="175"/>
      <c r="I23" s="175"/>
      <c r="J23" s="175"/>
      <c r="K23" s="175"/>
      <c r="L23" s="175"/>
      <c r="M23" s="175"/>
      <c r="N23" s="175" t="s">
        <v>106</v>
      </c>
      <c r="O23" s="175"/>
      <c r="P23" s="175"/>
      <c r="Q23" s="175"/>
      <c r="R23" s="175"/>
      <c r="S23" s="175"/>
      <c r="T23" s="207"/>
      <c r="U23"/>
      <c r="V23"/>
      <c r="W23"/>
    </row>
    <row r="24" spans="1:23" ht="13.5" customHeight="1">
      <c r="A24" s="208"/>
      <c r="B24" s="84"/>
      <c r="C24" s="85"/>
      <c r="D24" s="86" t="s">
        <v>192</v>
      </c>
      <c r="E24" s="91"/>
      <c r="F24" s="175"/>
      <c r="G24" s="175"/>
      <c r="H24" s="175"/>
      <c r="I24" s="175"/>
      <c r="J24" s="175"/>
      <c r="K24" s="175"/>
      <c r="L24" s="175"/>
      <c r="M24" s="175"/>
      <c r="N24" s="175"/>
      <c r="O24" s="175" t="s">
        <v>106</v>
      </c>
      <c r="P24" s="175"/>
      <c r="Q24" s="175"/>
      <c r="R24" s="175"/>
      <c r="S24" s="175"/>
      <c r="T24" s="207"/>
      <c r="U24"/>
      <c r="V24"/>
      <c r="W24"/>
    </row>
    <row r="25" spans="1:23" ht="13.5" customHeight="1">
      <c r="A25" s="208"/>
      <c r="B25" s="84"/>
      <c r="C25" s="85"/>
      <c r="D25" s="86" t="s">
        <v>193</v>
      </c>
      <c r="E25" s="91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 t="s">
        <v>106</v>
      </c>
      <c r="Q25" s="175"/>
      <c r="R25" s="175"/>
      <c r="S25" s="175"/>
      <c r="T25" s="207"/>
      <c r="U25"/>
      <c r="V25"/>
      <c r="W25"/>
    </row>
    <row r="26" spans="1:23" ht="13.5" customHeight="1">
      <c r="A26" s="208"/>
      <c r="B26" s="84"/>
      <c r="C26" s="85"/>
      <c r="D26" s="86" t="s">
        <v>194</v>
      </c>
      <c r="E26" s="91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 t="s">
        <v>106</v>
      </c>
      <c r="R26" s="175"/>
      <c r="S26" s="175"/>
      <c r="T26" s="207"/>
      <c r="U26"/>
      <c r="V26"/>
      <c r="W26"/>
    </row>
    <row r="27" spans="1:23" ht="13.5" customHeight="1">
      <c r="A27" s="208"/>
      <c r="B27" s="84"/>
      <c r="C27" s="85"/>
      <c r="D27" s="86" t="s">
        <v>195</v>
      </c>
      <c r="E27" s="91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 t="s">
        <v>106</v>
      </c>
      <c r="S27" s="175"/>
      <c r="T27" s="207"/>
      <c r="U27"/>
      <c r="V27"/>
      <c r="W27"/>
    </row>
    <row r="28" spans="1:23" ht="13.5" customHeight="1">
      <c r="A28" s="208"/>
      <c r="B28" s="84"/>
      <c r="C28" s="85"/>
      <c r="D28" s="86" t="s">
        <v>196</v>
      </c>
      <c r="E28" s="91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 t="s">
        <v>106</v>
      </c>
      <c r="T28" s="207"/>
      <c r="U28"/>
      <c r="V28"/>
      <c r="W28"/>
    </row>
    <row r="29" spans="1:23" ht="13.5" customHeight="1">
      <c r="A29" s="208"/>
      <c r="B29" s="84"/>
      <c r="C29" s="85"/>
      <c r="D29" s="86" t="s">
        <v>197</v>
      </c>
      <c r="E29" s="91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207" t="s">
        <v>106</v>
      </c>
      <c r="U29"/>
      <c r="V29"/>
      <c r="W29"/>
    </row>
    <row r="30" spans="1:23" ht="13.5" customHeight="1" thickBot="1">
      <c r="A30" s="208"/>
      <c r="B30" s="93"/>
      <c r="C30" s="94"/>
      <c r="D30" s="95"/>
      <c r="E30" s="96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209"/>
      <c r="U30"/>
      <c r="V30"/>
      <c r="W30"/>
    </row>
    <row r="31" spans="1:23" ht="13.5" customHeight="1" thickTop="1">
      <c r="A31" s="221" t="s">
        <v>78</v>
      </c>
      <c r="B31" s="98" t="s">
        <v>79</v>
      </c>
      <c r="C31" s="99"/>
      <c r="D31" s="100"/>
      <c r="E31" s="101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210"/>
    </row>
    <row r="32" spans="1:23" ht="13.5" customHeight="1">
      <c r="A32" s="220"/>
      <c r="B32" s="103"/>
      <c r="C32" s="104"/>
      <c r="D32" s="105" t="s">
        <v>198</v>
      </c>
      <c r="E32" s="106"/>
      <c r="F32" s="175" t="s">
        <v>106</v>
      </c>
      <c r="G32" s="175" t="s">
        <v>106</v>
      </c>
      <c r="H32" s="175" t="s">
        <v>106</v>
      </c>
      <c r="I32" s="175" t="s">
        <v>106</v>
      </c>
      <c r="J32" s="175" t="s">
        <v>106</v>
      </c>
      <c r="K32" s="175" t="s">
        <v>106</v>
      </c>
      <c r="L32" s="175" t="s">
        <v>106</v>
      </c>
      <c r="M32" s="175" t="s">
        <v>106</v>
      </c>
      <c r="N32" s="175" t="s">
        <v>106</v>
      </c>
      <c r="O32" s="175" t="s">
        <v>106</v>
      </c>
      <c r="P32" s="175" t="s">
        <v>106</v>
      </c>
      <c r="Q32" s="175" t="s">
        <v>106</v>
      </c>
      <c r="R32" s="175" t="s">
        <v>106</v>
      </c>
      <c r="S32" s="175" t="s">
        <v>106</v>
      </c>
      <c r="T32" s="207" t="s">
        <v>106</v>
      </c>
      <c r="U32"/>
      <c r="V32"/>
      <c r="W32"/>
    </row>
    <row r="33" spans="1:23" ht="13.5" customHeight="1">
      <c r="A33" s="220"/>
      <c r="B33" s="103"/>
      <c r="C33" s="179"/>
      <c r="D33" s="105" t="s">
        <v>199</v>
      </c>
      <c r="E33" s="108"/>
      <c r="F33" s="175" t="s">
        <v>106</v>
      </c>
      <c r="G33" s="175" t="s">
        <v>106</v>
      </c>
      <c r="H33" s="175" t="s">
        <v>106</v>
      </c>
      <c r="I33" s="175" t="s">
        <v>106</v>
      </c>
      <c r="J33" s="175" t="s">
        <v>106</v>
      </c>
      <c r="K33" s="175" t="s">
        <v>106</v>
      </c>
      <c r="L33" s="175" t="s">
        <v>106</v>
      </c>
      <c r="M33" s="175" t="s">
        <v>106</v>
      </c>
      <c r="N33" s="175" t="s">
        <v>106</v>
      </c>
      <c r="O33" s="175" t="s">
        <v>106</v>
      </c>
      <c r="P33" s="175" t="s">
        <v>106</v>
      </c>
      <c r="Q33" s="175" t="s">
        <v>106</v>
      </c>
      <c r="R33" s="175" t="s">
        <v>106</v>
      </c>
      <c r="S33" s="175" t="s">
        <v>106</v>
      </c>
      <c r="T33" s="207" t="s">
        <v>106</v>
      </c>
      <c r="U33"/>
      <c r="V33"/>
      <c r="W33"/>
    </row>
    <row r="34" spans="1:23" ht="13.5" customHeight="1">
      <c r="A34" s="220"/>
      <c r="B34" s="103" t="s">
        <v>80</v>
      </c>
      <c r="C34" s="179"/>
      <c r="D34" s="105"/>
      <c r="E34" s="108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207"/>
    </row>
    <row r="35" spans="1:23" ht="13.5" customHeight="1">
      <c r="A35" s="220"/>
      <c r="B35" s="103"/>
      <c r="C35" s="179"/>
      <c r="D35" s="105" t="s">
        <v>200</v>
      </c>
      <c r="E35" s="108"/>
      <c r="F35" s="175" t="s">
        <v>106</v>
      </c>
      <c r="G35" s="175" t="s">
        <v>106</v>
      </c>
      <c r="H35" s="175" t="s">
        <v>106</v>
      </c>
      <c r="I35" s="175" t="s">
        <v>106</v>
      </c>
      <c r="J35" s="175" t="s">
        <v>106</v>
      </c>
      <c r="K35" s="175" t="s">
        <v>106</v>
      </c>
      <c r="L35" s="175" t="s">
        <v>106</v>
      </c>
      <c r="M35" s="175" t="s">
        <v>106</v>
      </c>
      <c r="N35" s="175" t="s">
        <v>106</v>
      </c>
      <c r="O35" s="175" t="s">
        <v>106</v>
      </c>
      <c r="P35" s="175" t="s">
        <v>106</v>
      </c>
      <c r="Q35" s="175" t="s">
        <v>106</v>
      </c>
      <c r="R35" s="175" t="s">
        <v>106</v>
      </c>
      <c r="S35" s="175" t="s">
        <v>106</v>
      </c>
      <c r="T35" s="207" t="s">
        <v>106</v>
      </c>
      <c r="U35"/>
      <c r="V35"/>
      <c r="W35"/>
    </row>
    <row r="36" spans="1:23" ht="13.5" customHeight="1">
      <c r="A36" s="220"/>
      <c r="B36" s="103" t="s">
        <v>81</v>
      </c>
      <c r="C36" s="179"/>
      <c r="D36" s="105"/>
      <c r="E36" s="108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207"/>
    </row>
    <row r="37" spans="1:23" ht="13.5" customHeight="1">
      <c r="A37" s="220"/>
      <c r="B37" s="103"/>
      <c r="C37" s="179"/>
      <c r="D37" s="105" t="s">
        <v>201</v>
      </c>
      <c r="E37" s="108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207"/>
      <c r="U37"/>
      <c r="V37"/>
      <c r="W37"/>
    </row>
    <row r="38" spans="1:23" ht="13.5" customHeight="1" thickBot="1">
      <c r="A38" s="220"/>
      <c r="B38" s="194"/>
      <c r="C38" s="195"/>
      <c r="D38" s="196" t="s">
        <v>201</v>
      </c>
      <c r="E38" s="197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211"/>
      <c r="U38"/>
      <c r="V38"/>
      <c r="W38"/>
    </row>
    <row r="39" spans="1:23" ht="13.5" customHeight="1" thickTop="1">
      <c r="A39" s="221" t="s">
        <v>46</v>
      </c>
      <c r="B39" s="324" t="s">
        <v>47</v>
      </c>
      <c r="C39" s="324"/>
      <c r="D39" s="324"/>
      <c r="E39" s="199"/>
      <c r="F39" s="200" t="s">
        <v>50</v>
      </c>
      <c r="G39" s="200" t="s">
        <v>50</v>
      </c>
      <c r="H39" s="200" t="s">
        <v>50</v>
      </c>
      <c r="I39" s="200" t="s">
        <v>50</v>
      </c>
      <c r="J39" s="200" t="s">
        <v>50</v>
      </c>
      <c r="K39" s="200" t="s">
        <v>49</v>
      </c>
      <c r="L39" s="200" t="s">
        <v>50</v>
      </c>
      <c r="M39" s="200" t="s">
        <v>50</v>
      </c>
      <c r="N39" s="200" t="s">
        <v>50</v>
      </c>
      <c r="O39" s="200" t="s">
        <v>50</v>
      </c>
      <c r="P39" s="200" t="s">
        <v>50</v>
      </c>
      <c r="Q39" s="200" t="s">
        <v>50</v>
      </c>
      <c r="R39" s="200" t="s">
        <v>50</v>
      </c>
      <c r="S39" s="200" t="s">
        <v>49</v>
      </c>
      <c r="T39" s="212" t="s">
        <v>48</v>
      </c>
      <c r="U39"/>
      <c r="V39"/>
      <c r="W39"/>
    </row>
    <row r="40" spans="1:23" ht="13.5" customHeight="1">
      <c r="A40" s="220"/>
      <c r="B40" s="344" t="s">
        <v>51</v>
      </c>
      <c r="C40" s="344"/>
      <c r="D40" s="344"/>
      <c r="E40" s="110"/>
      <c r="F40" s="180" t="s">
        <v>52</v>
      </c>
      <c r="G40" s="180" t="s">
        <v>52</v>
      </c>
      <c r="H40" s="180" t="s">
        <v>52</v>
      </c>
      <c r="I40" s="180" t="s">
        <v>52</v>
      </c>
      <c r="J40" s="180" t="s">
        <v>52</v>
      </c>
      <c r="K40" s="180" t="s">
        <v>52</v>
      </c>
      <c r="L40" s="180" t="s">
        <v>52</v>
      </c>
      <c r="M40" s="180" t="s">
        <v>52</v>
      </c>
      <c r="N40" s="180" t="s">
        <v>52</v>
      </c>
      <c r="O40" s="180" t="s">
        <v>52</v>
      </c>
      <c r="P40" s="180" t="s">
        <v>52</v>
      </c>
      <c r="Q40" s="180" t="s">
        <v>52</v>
      </c>
      <c r="R40" s="180" t="s">
        <v>52</v>
      </c>
      <c r="S40" s="180" t="s">
        <v>52</v>
      </c>
      <c r="T40" s="214" t="s">
        <v>52</v>
      </c>
      <c r="U40"/>
      <c r="V40"/>
      <c r="W40"/>
    </row>
    <row r="41" spans="1:23" ht="13.5" customHeight="1">
      <c r="A41" s="220"/>
      <c r="B41" s="322" t="s">
        <v>53</v>
      </c>
      <c r="C41" s="322"/>
      <c r="D41" s="322"/>
      <c r="E41" s="111"/>
      <c r="F41" s="406" t="d">
        <v>2026-10-12T00:00:00.000Z</v>
      </c>
      <c r="G41" s="406" t="d">
        <v>2026-10-12T00:00:00.000Z</v>
      </c>
      <c r="H41" s="406" t="d">
        <v>2026-10-12T00:00:00.000Z</v>
      </c>
      <c r="I41" s="406" t="d">
        <v>2026-10-12T00:00:00.000Z</v>
      </c>
      <c r="J41" s="406" t="d">
        <v>2026-10-12T00:00:00.000Z</v>
      </c>
      <c r="K41" s="406" t="d">
        <v>2026-10-12T00:00:00.000Z</v>
      </c>
      <c r="L41" s="406" t="d">
        <v>2026-10-12T00:00:00.000Z</v>
      </c>
      <c r="M41" s="406" t="d">
        <v>2026-10-12T00:00:00.000Z</v>
      </c>
      <c r="N41" s="406" t="d">
        <v>2026-10-12T00:00:00.000Z</v>
      </c>
      <c r="O41" s="406" t="d">
        <v>2026-10-12T00:00:00.000Z</v>
      </c>
      <c r="P41" s="406" t="d">
        <v>2026-10-12T00:00:00.000Z</v>
      </c>
      <c r="Q41" s="406" t="d">
        <v>2026-10-12T00:00:00.000Z</v>
      </c>
      <c r="R41" s="406" t="d">
        <v>2026-10-12T00:00:00.000Z</v>
      </c>
      <c r="S41" s="406" t="d">
        <v>2026-10-12T00:00:00.000Z</v>
      </c>
      <c r="T41" s="407" t="d">
        <v>2026-10-12T00:00:00.000Z</v>
      </c>
      <c r="U41"/>
      <c r="V41"/>
      <c r="W41"/>
    </row>
    <row r="42" spans="1:23" ht="13.8" thickBot="1">
      <c r="A42" s="240"/>
      <c r="B42" s="323" t="s">
        <v>54</v>
      </c>
      <c r="C42" s="323"/>
      <c r="D42" s="323"/>
      <c r="E42" s="217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9"/>
      <c r="U42"/>
      <c r="V42"/>
      <c r="W42"/>
    </row>
    <row r="43" spans="1:23" ht="10.8" thickTop="1">
      <c r="A43" s="201"/>
    </row>
  </sheetData>
  <mergeCells count="28">
    <mergeCell ref="A2:B2"/>
    <mergeCell ref="C2:E2"/>
    <mergeCell ref="F2:K2"/>
    <mergeCell ref="B40:D40"/>
    <mergeCell ref="F7:K7"/>
    <mergeCell ref="C7:E7"/>
    <mergeCell ref="A7:B7"/>
    <mergeCell ref="A3:B3"/>
    <mergeCell ref="A4:B4"/>
    <mergeCell ref="C4:D4"/>
    <mergeCell ref="B41:D41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O6:T6"/>
    <mergeCell ref="L2:T2"/>
    <mergeCell ref="L3:N3"/>
    <mergeCell ref="C6:E6"/>
    <mergeCell ref="F3:K3"/>
    <mergeCell ref="L4:T4"/>
    <mergeCell ref="F6:K6"/>
    <mergeCell ref="F4:K4"/>
  </mergeCells>
  <phoneticPr fontId="34" type="noConversion"/>
  <dataValidations count="3">
    <dataValidation type="list" allowBlank="1" showInputMessage="1" showErrorMessage="1" sqref="F39:T39" xr:uid="{133CCAF2-19F6-4DBB-89D9-5EFAF583685B}">
      <formula1>"N,A,B, "</formula1>
    </dataValidation>
    <dataValidation type="list" allowBlank="1" showInputMessage="1" showErrorMessage="1" sqref="F40:T40" xr:uid="{8D16B3DD-B25C-46C6-99C4-3BA4728F00AA}">
      <formula1>"P,F, "</formula1>
    </dataValidation>
    <dataValidation type="list" allowBlank="1" showInputMessage="1" showErrorMessage="1" sqref="F10:T38" xr:uid="{791ABB0A-A09A-45CC-82F6-9E595093476B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68D7-F143-4F78-BED2-2F8E6CC4F63D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8.109375" style="78" customWidth="1"/>
    <col min="2" max="2" width="13.33203125" style="82" customWidth="1"/>
    <col min="3" max="3" width="10.77734375" style="78" customWidth="1"/>
    <col min="4" max="4" width="11.33203125" style="79" customWidth="1"/>
    <col min="5" max="5" width="1.77734375" style="78" hidden="1" customWidth="1"/>
    <col min="6" max="7" width="2.77734375" style="78" bestFit="1" customWidth="1"/>
    <col min="8" max="8" width="2.77734375" style="78" customWidth="1"/>
    <col min="9" max="10" width="2.77734375" style="78" bestFit="1" customWidth="1"/>
    <col min="11" max="19" width="2.77734375" style="78" customWidth="1"/>
    <col min="20" max="20" width="2.77734375" style="78" bestFit="1" customWidth="1"/>
    <col min="21" max="21" width="2.77734375" style="78" customWidth="1"/>
    <col min="22" max="16384" width="9" style="78"/>
  </cols>
  <sheetData>
    <row r="1" spans="1:23" ht="22.5" customHeight="1" thickBot="1">
      <c r="D1" s="184"/>
    </row>
    <row r="2" spans="1:23" ht="15" customHeight="1">
      <c r="A2" s="353" t="s">
        <v>69</v>
      </c>
      <c r="B2" s="354"/>
      <c r="C2" s="355" t="str">
        <f>Functions!E12</f>
        <v>AUTH02</v>
      </c>
      <c r="D2" s="357"/>
      <c r="E2" s="185"/>
      <c r="F2" s="354" t="s">
        <v>17</v>
      </c>
      <c r="G2" s="354"/>
      <c r="H2" s="354"/>
      <c r="I2" s="354"/>
      <c r="J2" s="354"/>
      <c r="K2" s="354"/>
      <c r="L2" s="355" t="str">
        <f>Functions!D12</f>
        <v>resetPassword</v>
      </c>
      <c r="M2" s="355" t="str">
        <v>resetPassword</v>
      </c>
      <c r="N2" s="355"/>
      <c r="O2" s="355"/>
      <c r="P2" s="355"/>
      <c r="Q2" s="355"/>
      <c r="R2" s="355"/>
      <c r="S2" s="355"/>
      <c r="T2" s="356"/>
    </row>
    <row r="3" spans="1:23" ht="13.5" customHeight="1">
      <c r="A3" s="351" t="s">
        <v>70</v>
      </c>
      <c r="B3" s="352"/>
      <c r="C3" s="325" t="str">
        <v>FJMS team</v>
      </c>
      <c r="D3" s="312"/>
      <c r="E3" s="326"/>
      <c r="F3" s="358" t="s">
        <v>71</v>
      </c>
      <c r="G3" s="359"/>
      <c r="H3" s="359"/>
      <c r="I3" s="359"/>
      <c r="J3" s="359"/>
      <c r="K3" s="360"/>
      <c r="L3" s="312" t="str">
        <v>Jest</v>
      </c>
      <c r="M3" s="312"/>
      <c r="N3" s="312"/>
      <c r="O3" s="181"/>
      <c r="P3" s="181"/>
      <c r="Q3" s="181"/>
      <c r="R3" s="181"/>
      <c r="S3" s="181"/>
      <c r="T3" s="182"/>
    </row>
    <row r="4" spans="1:23" ht="13.5" customHeight="1">
      <c r="A4" s="330" t="s">
        <v>72</v>
      </c>
      <c r="B4" s="331"/>
      <c r="C4" s="349" t="n">
        <v>53</v>
      </c>
      <c r="D4" s="350"/>
      <c r="E4" s="193"/>
      <c r="F4" s="315" t="s">
        <v>73</v>
      </c>
      <c r="G4" s="316"/>
      <c r="H4" s="316"/>
      <c r="I4" s="316"/>
      <c r="J4" s="316"/>
      <c r="K4" s="317"/>
      <c r="L4" s="318" t="str">
        <f xml:space="preserve"> IF(Functions!E6&lt;&gt;"N/A",SUM(C4*Functions!E6/1000,- O7),"N/A")</f>
        <v>N/A</v>
      </c>
      <c r="M4" s="319"/>
      <c r="N4" s="319"/>
      <c r="O4" s="319"/>
      <c r="P4" s="319"/>
      <c r="Q4" s="319"/>
      <c r="R4" s="319"/>
      <c r="S4" s="319"/>
      <c r="T4" s="320"/>
      <c r="V4" s="80"/>
    </row>
    <row r="5" spans="1:23" ht="13.5" customHeight="1">
      <c r="A5" s="330" t="s">
        <v>74</v>
      </c>
      <c r="B5" s="331"/>
      <c r="C5" s="332" t="s">
        <v>163</v>
      </c>
      <c r="D5" s="332"/>
      <c r="E5" s="332"/>
      <c r="F5" s="333"/>
      <c r="G5" s="333"/>
      <c r="H5" s="333"/>
      <c r="I5" s="333"/>
      <c r="J5" s="333"/>
      <c r="K5" s="333"/>
      <c r="L5" s="332"/>
      <c r="M5" s="332"/>
      <c r="N5" s="332"/>
      <c r="O5" s="332"/>
      <c r="P5" s="332"/>
      <c r="Q5" s="332"/>
      <c r="R5" s="332"/>
      <c r="S5" s="332"/>
      <c r="T5" s="332"/>
    </row>
    <row r="6" spans="1:23" ht="13.5" customHeight="1">
      <c r="A6" s="328" t="s">
        <v>23</v>
      </c>
      <c r="B6" s="329"/>
      <c r="C6" s="313" t="s">
        <v>24</v>
      </c>
      <c r="D6" s="307"/>
      <c r="E6" s="314"/>
      <c r="F6" s="313" t="s">
        <v>25</v>
      </c>
      <c r="G6" s="307"/>
      <c r="H6" s="307"/>
      <c r="I6" s="307"/>
      <c r="J6" s="307"/>
      <c r="K6" s="321"/>
      <c r="L6" s="307" t="s">
        <v>75</v>
      </c>
      <c r="M6" s="307"/>
      <c r="N6" s="307"/>
      <c r="O6" s="306" t="s">
        <v>26</v>
      </c>
      <c r="P6" s="307"/>
      <c r="Q6" s="307"/>
      <c r="R6" s="307"/>
      <c r="S6" s="307"/>
      <c r="T6" s="308"/>
      <c r="V6" s="80"/>
    </row>
    <row r="7" spans="1:23" ht="13.5" customHeight="1" thickBot="1">
      <c r="A7" s="348" t="n">
        <f>COUNTIF(F40:HQ40,"P")</f>
        <v>15</v>
      </c>
      <c r="B7" s="347"/>
      <c r="C7" s="345" t="n">
        <f>COUNTIF(F40:HQ40,"F")</f>
        <v>0</v>
      </c>
      <c r="D7" s="335"/>
      <c r="E7" s="347"/>
      <c r="F7" s="345" t="n">
        <f>SUM(O7,- A7,- C7)</f>
        <v>0</v>
      </c>
      <c r="G7" s="335"/>
      <c r="H7" s="335"/>
      <c r="I7" s="335"/>
      <c r="J7" s="335"/>
      <c r="K7" s="346"/>
      <c r="L7" s="183" t="n">
        <f>COUNTIF(E39:HQ39,"N")</f>
        <v>0</v>
      </c>
      <c r="M7" s="183" t="n">
        <f>COUNTIF(E39:HQ39,"A")</f>
        <v>11</v>
      </c>
      <c r="N7" s="183" t="n">
        <f>COUNTIF(E39:HQ39,"B")</f>
        <v>4</v>
      </c>
      <c r="O7" s="334" t="n">
        <f>COUNTA(E9:HT9)</f>
        <v>15</v>
      </c>
      <c r="P7" s="335"/>
      <c r="Q7" s="335"/>
      <c r="R7" s="335"/>
      <c r="S7" s="335"/>
      <c r="T7" s="336"/>
      <c r="U7" s="81"/>
    </row>
    <row r="8" spans="1:23" ht="10.8" thickBot="1"/>
    <row r="9" spans="1:23" ht="20.399999999999999" thickTop="1" thickBot="1">
      <c r="A9" s="228"/>
      <c r="B9" s="229"/>
      <c r="C9" s="230"/>
      <c r="D9" s="231"/>
      <c r="E9" s="230"/>
      <c r="F9" s="232" t="str">
        <v>P01</v>
      </c>
      <c r="G9" s="232" t="str">
        <v>P02</v>
      </c>
      <c r="H9" s="232" t="str">
        <v>P03</v>
      </c>
      <c r="I9" s="232" t="str">
        <v>P04</v>
      </c>
      <c r="J9" s="232" t="str">
        <v>P05</v>
      </c>
      <c r="K9" s="232" t="str">
        <v>P06</v>
      </c>
      <c r="L9" s="232" t="str">
        <v>P07</v>
      </c>
      <c r="M9" s="232" t="str">
        <v>P08</v>
      </c>
      <c r="N9" s="232" t="str">
        <v>P09</v>
      </c>
      <c r="O9" s="232" t="str">
        <v>P10</v>
      </c>
      <c r="P9" s="232" t="str">
        <v>P11</v>
      </c>
      <c r="Q9" s="232" t="str">
        <v>P12</v>
      </c>
      <c r="R9" s="232" t="str">
        <v>P13</v>
      </c>
      <c r="S9" s="232" t="str">
        <v>P14</v>
      </c>
      <c r="T9" s="233" t="str">
        <v>P15</v>
      </c>
      <c r="U9" s="83"/>
      <c r="V9" s="80"/>
    </row>
    <row r="10" spans="1:23" ht="13.5" customHeight="1">
      <c r="A10" s="222" t="s">
        <v>76</v>
      </c>
      <c r="B10" s="84" t="s">
        <v>64</v>
      </c>
      <c r="C10" s="85"/>
      <c r="D10" s="86"/>
      <c r="E10" s="8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234"/>
    </row>
    <row r="11" spans="1:23" ht="13.5" customHeight="1">
      <c r="A11" s="208"/>
      <c r="B11" s="84"/>
      <c r="C11" s="85"/>
      <c r="D11" s="86" t="s">
        <v>179</v>
      </c>
      <c r="E11" s="89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234"/>
      <c r="V11" s="80"/>
    </row>
    <row r="12" spans="1:23" ht="13.5" customHeight="1">
      <c r="A12" s="208"/>
      <c r="B12" s="84"/>
      <c r="C12" s="85"/>
      <c r="D12" s="86" t="s">
        <v>180</v>
      </c>
      <c r="E12" s="89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234"/>
    </row>
    <row r="13" spans="1:23" ht="13.5" customHeight="1">
      <c r="A13" s="208"/>
      <c r="B13" s="84"/>
      <c r="C13" s="85"/>
      <c r="D13" s="86" t="str">
        <v>token=550000; new=Bb12345!</v>
      </c>
      <c r="E13" s="90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234"/>
      <c r="V13" s="80"/>
    </row>
    <row r="14" spans="1:23" ht="13.5" customHeight="1">
      <c r="A14" s="208"/>
      <c r="B14" s="84" t="s">
        <v>182</v>
      </c>
      <c r="C14" s="85"/>
      <c r="D14" s="86"/>
      <c r="E14" s="91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234"/>
    </row>
    <row r="15" spans="1:23" ht="13.5" customHeight="1">
      <c r="A15" s="208"/>
      <c r="B15" s="84"/>
      <c r="C15" s="85"/>
      <c r="D15" s="86" t="str">
        <v>email="":3</v>
      </c>
      <c r="E15" s="91"/>
      <c r="F15" s="88" t="str">
        <v>O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234"/>
      <c r="U15"/>
      <c r="V15"/>
      <c r="W15"/>
    </row>
    <row r="16" spans="1:23" ht="13.5" customHeight="1">
      <c r="A16" s="208"/>
      <c r="B16" s="84"/>
      <c r="C16" s="85"/>
      <c r="D16" s="86" t="str">
        <v>otpCode="":3</v>
      </c>
      <c r="E16" s="91"/>
      <c r="F16" s="88"/>
      <c r="G16" s="88" t="str">
        <v>O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234"/>
      <c r="U16"/>
      <c r="V16"/>
      <c r="W16"/>
    </row>
    <row r="17" spans="1:23" ht="13.5" customHeight="1">
      <c r="A17" s="208"/>
      <c r="B17" s="84"/>
      <c r="C17" s="85"/>
      <c r="D17" s="86" t="str">
        <v>newPassword="":3</v>
      </c>
      <c r="E17" s="91"/>
      <c r="F17" s="88"/>
      <c r="G17" s="88"/>
      <c r="H17" s="88" t="str">
        <v>O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234"/>
      <c r="U17" s="92"/>
      <c r="V17"/>
      <c r="W17"/>
    </row>
    <row r="18" spans="1:23" ht="13.5" customHeight="1">
      <c r="A18" s="208"/>
      <c r="B18" s="84"/>
      <c r="C18" s="85"/>
      <c r="D18" s="86" t="str">
        <v>password 7 chars:3</v>
      </c>
      <c r="E18" s="91"/>
      <c r="F18" s="88"/>
      <c r="G18" s="88"/>
      <c r="H18" s="88"/>
      <c r="I18" s="88" t="str">
        <v>O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234"/>
      <c r="U18" s="92"/>
      <c r="V18"/>
      <c r="W18"/>
    </row>
    <row r="19" spans="1:23" ht="13.5" customHeight="1">
      <c r="A19" s="208"/>
      <c r="B19" s="84"/>
      <c r="C19" s="85"/>
      <c r="D19" s="327" t="str">
        <v>missing upper/lower:3</v>
      </c>
      <c r="E19" s="327"/>
      <c r="F19" s="88"/>
      <c r="G19" s="88"/>
      <c r="H19" s="88"/>
      <c r="I19" s="88"/>
      <c r="J19" s="88" t="str">
        <v>O</v>
      </c>
      <c r="K19" s="88"/>
      <c r="L19" s="88"/>
      <c r="M19" s="88"/>
      <c r="N19" s="88"/>
      <c r="O19" s="88"/>
      <c r="P19" s="88"/>
      <c r="Q19" s="88"/>
      <c r="R19" s="88"/>
      <c r="S19" s="88"/>
      <c r="T19" s="234"/>
      <c r="U19"/>
      <c r="V19"/>
      <c r="W19"/>
    </row>
    <row r="20" spans="1:23" ht="13.5" customHeight="1">
      <c r="A20" s="208"/>
      <c r="B20" s="84"/>
      <c r="C20" s="85"/>
      <c r="D20" s="86" t="str">
        <v>unknown user:6</v>
      </c>
      <c r="E20" s="91"/>
      <c r="F20" s="88"/>
      <c r="G20" s="88"/>
      <c r="H20" s="88"/>
      <c r="I20" s="88"/>
      <c r="J20" s="88"/>
      <c r="K20" s="88" t="str">
        <v>O</v>
      </c>
      <c r="L20" s="88"/>
      <c r="M20" s="88"/>
      <c r="N20" s="88"/>
      <c r="O20" s="88"/>
      <c r="P20" s="88"/>
      <c r="Q20" s="88"/>
      <c r="R20" s="88"/>
      <c r="S20" s="88"/>
      <c r="T20" s="234"/>
      <c r="U20"/>
      <c r="V20"/>
      <c r="W20"/>
    </row>
    <row r="21" spans="1:23" ht="13.5" customHeight="1">
      <c r="A21" s="208"/>
      <c r="B21" s="84"/>
      <c r="C21" s="85"/>
      <c r="D21" s="86" t="str">
        <v>invalid/used token:3</v>
      </c>
      <c r="E21" s="91"/>
      <c r="F21" s="88"/>
      <c r="G21" s="88"/>
      <c r="H21" s="88"/>
      <c r="I21" s="88"/>
      <c r="J21" s="88"/>
      <c r="K21" s="88"/>
      <c r="L21" s="88" t="str">
        <v>O</v>
      </c>
      <c r="M21" s="88"/>
      <c r="N21" s="88"/>
      <c r="O21" s="88"/>
      <c r="P21" s="88"/>
      <c r="Q21" s="88"/>
      <c r="R21" s="88"/>
      <c r="S21" s="88"/>
      <c r="T21" s="234"/>
      <c r="U21"/>
      <c r="V21"/>
      <c r="W21"/>
    </row>
    <row r="22" spans="1:23" ht="13.5" customHeight="1">
      <c r="A22" s="208"/>
      <c r="B22" s="84"/>
      <c r="C22" s="85"/>
      <c r="D22" s="86" t="str">
        <v>expiry=now-1ms:3</v>
      </c>
      <c r="E22" s="91"/>
      <c r="F22" s="88"/>
      <c r="G22" s="88"/>
      <c r="H22" s="88"/>
      <c r="I22" s="88"/>
      <c r="J22" s="88"/>
      <c r="K22" s="88"/>
      <c r="L22" s="88"/>
      <c r="M22" s="88" t="str">
        <v>O</v>
      </c>
      <c r="N22" s="88"/>
      <c r="O22" s="88"/>
      <c r="P22" s="88"/>
      <c r="Q22" s="88"/>
      <c r="R22" s="88"/>
      <c r="S22" s="88"/>
      <c r="T22" s="234"/>
      <c r="U22"/>
      <c r="V22"/>
      <c r="W22"/>
    </row>
    <row r="23" spans="1:23" ht="13.5" customHeight="1">
      <c r="A23" s="208"/>
      <c r="B23" s="84"/>
      <c r="C23" s="85"/>
      <c r="D23" s="86" t="str">
        <v>expiry=now:1</v>
      </c>
      <c r="E23" s="91"/>
      <c r="F23" s="88"/>
      <c r="G23" s="88"/>
      <c r="H23" s="88"/>
      <c r="I23" s="88"/>
      <c r="J23" s="88"/>
      <c r="K23" s="88"/>
      <c r="L23" s="88"/>
      <c r="M23" s="88"/>
      <c r="N23" s="88" t="str">
        <v>O</v>
      </c>
      <c r="O23" s="88"/>
      <c r="P23" s="88"/>
      <c r="Q23" s="88"/>
      <c r="R23" s="88"/>
      <c r="S23" s="88"/>
      <c r="T23" s="234"/>
      <c r="U23"/>
      <c r="V23"/>
      <c r="W23"/>
    </row>
    <row r="24" spans="1:23" ht="13.5" customHeight="1">
      <c r="A24" s="208"/>
      <c r="B24" s="84"/>
      <c r="C24" s="85"/>
      <c r="D24" s="86" t="str">
        <v>expiry=now+1ms:1</v>
      </c>
      <c r="E24" s="91"/>
      <c r="F24" s="88"/>
      <c r="G24" s="88"/>
      <c r="H24" s="88"/>
      <c r="I24" s="88"/>
      <c r="J24" s="88"/>
      <c r="K24" s="88"/>
      <c r="L24" s="88"/>
      <c r="M24" s="88"/>
      <c r="N24" s="88"/>
      <c r="O24" s="88" t="str">
        <v>O</v>
      </c>
      <c r="P24" s="88"/>
      <c r="Q24" s="88"/>
      <c r="R24" s="88"/>
      <c r="S24" s="88"/>
      <c r="T24" s="234"/>
      <c r="U24"/>
      <c r="V24"/>
      <c r="W24"/>
    </row>
    <row r="25" spans="1:23" ht="13.5" customHeight="1">
      <c r="A25" s="208"/>
      <c r="B25" s="84"/>
      <c r="C25" s="85"/>
      <c r="D25" s="86" t="str">
        <v>query1 error:7</v>
      </c>
      <c r="E25" s="91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 t="str">
        <v>O</v>
      </c>
      <c r="Q25" s="88"/>
      <c r="R25" s="88"/>
      <c r="S25" s="88"/>
      <c r="T25" s="234"/>
      <c r="U25"/>
      <c r="V25"/>
      <c r="W25"/>
    </row>
    <row r="26" spans="1:23" ht="13.5" customHeight="1">
      <c r="A26" s="208"/>
      <c r="B26" s="84"/>
      <c r="C26" s="85"/>
      <c r="D26" s="86" t="str">
        <v>query2 error:7</v>
      </c>
      <c r="E26" s="91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 t="str">
        <v>O</v>
      </c>
      <c r="R26" s="88"/>
      <c r="S26" s="88"/>
      <c r="T26" s="234"/>
      <c r="U26"/>
      <c r="V26"/>
      <c r="W26"/>
    </row>
    <row r="27" spans="1:23" ht="13.5" customHeight="1">
      <c r="A27" s="208"/>
      <c r="B27" s="84"/>
      <c r="C27" s="85"/>
      <c r="D27" s="86" t="str">
        <v>query3 error:7</v>
      </c>
      <c r="E27" s="91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 t="str">
        <v>O</v>
      </c>
      <c r="S27" s="88"/>
      <c r="T27" s="234"/>
      <c r="U27"/>
      <c r="V27"/>
      <c r="W27"/>
    </row>
    <row r="28" spans="1:23" ht="13.5" customHeight="1">
      <c r="A28" s="208"/>
      <c r="B28" s="84"/>
      <c r="C28" s="85"/>
      <c r="D28" s="86" t="str">
        <v>query4 error:7</v>
      </c>
      <c r="E28" s="91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 t="str">
        <v>O</v>
      </c>
      <c r="T28" s="234"/>
      <c r="U28"/>
      <c r="V28"/>
      <c r="W28"/>
    </row>
    <row r="29" spans="1:23" ht="13.5" customHeight="1">
      <c r="A29" s="208"/>
      <c r="B29" s="84"/>
      <c r="C29" s="85"/>
      <c r="D29" s="86" t="str">
        <v>hashing error:7</v>
      </c>
      <c r="E29" s="91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234" t="str">
        <v>O</v>
      </c>
      <c r="U29"/>
      <c r="V29"/>
      <c r="W29"/>
    </row>
    <row r="30" spans="1:23" ht="13.5" customHeight="1" thickBot="1">
      <c r="A30" s="208"/>
      <c r="B30" s="93"/>
      <c r="C30" s="94"/>
      <c r="D30" s="95"/>
      <c r="E30" s="96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35"/>
      <c r="U30"/>
      <c r="V30"/>
      <c r="W30"/>
    </row>
    <row r="31" spans="1:23" ht="13.5" customHeight="1" thickTop="1">
      <c r="A31" s="221" t="s">
        <v>78</v>
      </c>
      <c r="B31" s="98" t="s">
        <v>65</v>
      </c>
      <c r="C31" s="99"/>
      <c r="D31" s="100"/>
      <c r="E31" s="101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236"/>
    </row>
    <row r="32" spans="1:23" ht="13.5" customHeight="1">
      <c r="A32" s="220"/>
      <c r="B32" s="103"/>
      <c r="C32" s="104"/>
      <c r="D32" s="105" t="s">
        <v>198</v>
      </c>
      <c r="E32" s="106"/>
      <c r="F32" s="88" t="s">
        <v>106</v>
      </c>
      <c r="G32" s="88" t="s">
        <v>106</v>
      </c>
      <c r="H32" s="88" t="s">
        <v>106</v>
      </c>
      <c r="I32" s="88" t="s">
        <v>106</v>
      </c>
      <c r="J32" s="88" t="s">
        <v>106</v>
      </c>
      <c r="K32" s="88" t="s">
        <v>106</v>
      </c>
      <c r="L32" s="88" t="s">
        <v>106</v>
      </c>
      <c r="M32" s="88" t="s">
        <v>106</v>
      </c>
      <c r="N32" s="88" t="s">
        <v>106</v>
      </c>
      <c r="O32" s="88" t="s">
        <v>106</v>
      </c>
      <c r="P32" s="88" t="s">
        <v>106</v>
      </c>
      <c r="Q32" s="88" t="s">
        <v>106</v>
      </c>
      <c r="R32" s="88" t="s">
        <v>106</v>
      </c>
      <c r="S32" s="88" t="s">
        <v>106</v>
      </c>
      <c r="T32" s="234" t="s">
        <v>106</v>
      </c>
      <c r="U32"/>
      <c r="V32"/>
      <c r="W32"/>
    </row>
    <row r="33" spans="1:23" ht="13.5" customHeight="1">
      <c r="A33" s="220"/>
      <c r="B33" s="103"/>
      <c r="C33" s="107"/>
      <c r="D33" s="105" t="s">
        <v>199</v>
      </c>
      <c r="E33" s="108"/>
      <c r="F33" s="88" t="s">
        <v>106</v>
      </c>
      <c r="G33" s="88" t="s">
        <v>106</v>
      </c>
      <c r="H33" s="88" t="s">
        <v>106</v>
      </c>
      <c r="I33" s="88" t="s">
        <v>106</v>
      </c>
      <c r="J33" s="88" t="s">
        <v>106</v>
      </c>
      <c r="K33" s="88" t="s">
        <v>106</v>
      </c>
      <c r="L33" s="88" t="s">
        <v>106</v>
      </c>
      <c r="M33" s="88" t="s">
        <v>106</v>
      </c>
      <c r="N33" s="88" t="s">
        <v>106</v>
      </c>
      <c r="O33" s="88" t="s">
        <v>106</v>
      </c>
      <c r="P33" s="88" t="s">
        <v>106</v>
      </c>
      <c r="Q33" s="88" t="s">
        <v>106</v>
      </c>
      <c r="R33" s="88" t="s">
        <v>106</v>
      </c>
      <c r="S33" s="88" t="s">
        <v>106</v>
      </c>
      <c r="T33" s="234" t="s">
        <v>106</v>
      </c>
      <c r="U33"/>
      <c r="V33"/>
      <c r="W33"/>
    </row>
    <row r="34" spans="1:23" ht="13.5" customHeight="1">
      <c r="A34" s="220"/>
      <c r="B34" s="103" t="s">
        <v>66</v>
      </c>
      <c r="C34" s="107"/>
      <c r="D34" s="105"/>
      <c r="E34" s="10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234"/>
    </row>
    <row r="35" spans="1:23" ht="13.5" customHeight="1">
      <c r="A35" s="220"/>
      <c r="B35" s="103"/>
      <c r="C35" s="107"/>
      <c r="D35" s="105" t="s">
        <v>200</v>
      </c>
      <c r="E35" s="108"/>
      <c r="F35" s="88" t="s">
        <v>106</v>
      </c>
      <c r="G35" s="88" t="s">
        <v>106</v>
      </c>
      <c r="H35" s="88" t="s">
        <v>106</v>
      </c>
      <c r="I35" s="88" t="s">
        <v>106</v>
      </c>
      <c r="J35" s="88" t="s">
        <v>106</v>
      </c>
      <c r="K35" s="88" t="s">
        <v>106</v>
      </c>
      <c r="L35" s="88" t="s">
        <v>106</v>
      </c>
      <c r="M35" s="88" t="s">
        <v>106</v>
      </c>
      <c r="N35" s="88" t="s">
        <v>106</v>
      </c>
      <c r="O35" s="88" t="s">
        <v>106</v>
      </c>
      <c r="P35" s="88" t="s">
        <v>106</v>
      </c>
      <c r="Q35" s="88" t="s">
        <v>106</v>
      </c>
      <c r="R35" s="88" t="s">
        <v>106</v>
      </c>
      <c r="S35" s="88" t="s">
        <v>106</v>
      </c>
      <c r="T35" s="234" t="s">
        <v>106</v>
      </c>
      <c r="U35"/>
      <c r="V35"/>
      <c r="W35"/>
    </row>
    <row r="36" spans="1:23" ht="13.5" customHeight="1">
      <c r="A36" s="220"/>
      <c r="B36" s="103" t="s">
        <v>67</v>
      </c>
      <c r="C36" s="107"/>
      <c r="D36" s="105"/>
      <c r="E36" s="10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234"/>
    </row>
    <row r="37" spans="1:23" ht="13.5" customHeight="1">
      <c r="A37" s="220"/>
      <c r="B37" s="103"/>
      <c r="C37" s="107"/>
      <c r="D37" s="105" t="s">
        <v>201</v>
      </c>
      <c r="E37" s="10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234"/>
      <c r="U37"/>
      <c r="V37"/>
      <c r="W37"/>
    </row>
    <row r="38" spans="1:23" ht="13.5" customHeight="1" thickBot="1">
      <c r="A38" s="220"/>
      <c r="B38" s="194"/>
      <c r="C38" s="195"/>
      <c r="D38" s="196" t="s">
        <v>201</v>
      </c>
      <c r="E38" s="197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37"/>
      <c r="U38"/>
      <c r="V38"/>
      <c r="W38"/>
    </row>
    <row r="39" spans="1:23" ht="13.5" customHeight="1" thickTop="1">
      <c r="A39" s="221" t="s">
        <v>46</v>
      </c>
      <c r="B39" s="324" t="s">
        <v>47</v>
      </c>
      <c r="C39" s="324"/>
      <c r="D39" s="324"/>
      <c r="E39" s="199"/>
      <c r="F39" s="227" t="str">
        <v>A</v>
      </c>
      <c r="G39" s="227" t="str">
        <v>A</v>
      </c>
      <c r="H39" s="227" t="str">
        <v>A</v>
      </c>
      <c r="I39" s="227" t="str">
        <v>B</v>
      </c>
      <c r="J39" s="227" t="str">
        <v>A</v>
      </c>
      <c r="K39" s="227" t="str">
        <v>A</v>
      </c>
      <c r="L39" s="227" t="str">
        <v>A</v>
      </c>
      <c r="M39" s="227" t="str">
        <v>B</v>
      </c>
      <c r="N39" s="227" t="str">
        <v>B</v>
      </c>
      <c r="O39" s="227" t="str">
        <v>B</v>
      </c>
      <c r="P39" s="227" t="str">
        <v>A</v>
      </c>
      <c r="Q39" s="227" t="str">
        <v>A</v>
      </c>
      <c r="R39" s="227" t="str">
        <v>A</v>
      </c>
      <c r="S39" s="227" t="str">
        <v>A</v>
      </c>
      <c r="T39" s="238" t="str">
        <v>A</v>
      </c>
      <c r="U39"/>
      <c r="V39"/>
      <c r="W39"/>
    </row>
    <row r="40" spans="1:23" ht="13.5" customHeight="1">
      <c r="A40" s="220"/>
      <c r="B40" s="344" t="s">
        <v>51</v>
      </c>
      <c r="C40" s="344"/>
      <c r="D40" s="344"/>
      <c r="E40" s="110"/>
      <c r="F40" s="109" t="s">
        <v>52</v>
      </c>
      <c r="G40" s="109" t="s">
        <v>52</v>
      </c>
      <c r="H40" s="109" t="s">
        <v>52</v>
      </c>
      <c r="I40" s="109" t="s">
        <v>52</v>
      </c>
      <c r="J40" s="109" t="s">
        <v>52</v>
      </c>
      <c r="K40" s="109" t="s">
        <v>52</v>
      </c>
      <c r="L40" s="109" t="s">
        <v>52</v>
      </c>
      <c r="M40" s="109" t="s">
        <v>52</v>
      </c>
      <c r="N40" s="109" t="s">
        <v>52</v>
      </c>
      <c r="O40" s="109" t="s">
        <v>52</v>
      </c>
      <c r="P40" s="109" t="s">
        <v>52</v>
      </c>
      <c r="Q40" s="109" t="s">
        <v>52</v>
      </c>
      <c r="R40" s="109" t="s">
        <v>52</v>
      </c>
      <c r="S40" s="109" t="s">
        <v>52</v>
      </c>
      <c r="T40" s="239" t="s">
        <v>52</v>
      </c>
      <c r="U40"/>
      <c r="V40"/>
      <c r="W40"/>
    </row>
    <row r="41" spans="1:23" ht="13.5" customHeight="1">
      <c r="A41" s="220"/>
      <c r="B41" s="322" t="s">
        <v>53</v>
      </c>
      <c r="C41" s="322"/>
      <c r="D41" s="322"/>
      <c r="E41" s="111"/>
      <c r="F41" s="406" t="d">
        <v>2026-10-12T00:00:00.000Z</v>
      </c>
      <c r="G41" s="406" t="d">
        <v>2026-10-12T00:00:00.000Z</v>
      </c>
      <c r="H41" s="406" t="d">
        <v>2026-10-12T00:00:00.000Z</v>
      </c>
      <c r="I41" s="406" t="d">
        <v>2026-10-12T00:00:00.000Z</v>
      </c>
      <c r="J41" s="406" t="d">
        <v>2026-10-12T00:00:00.000Z</v>
      </c>
      <c r="K41" s="406" t="d">
        <v>2026-10-12T00:00:00.000Z</v>
      </c>
      <c r="L41" s="406" t="d">
        <v>2026-10-12T00:00:00.000Z</v>
      </c>
      <c r="M41" s="406" t="d">
        <v>2026-10-12T00:00:00.000Z</v>
      </c>
      <c r="N41" s="406" t="d">
        <v>2026-10-12T00:00:00.000Z</v>
      </c>
      <c r="O41" s="406" t="d">
        <v>2026-10-12T00:00:00.000Z</v>
      </c>
      <c r="P41" s="406" t="d">
        <v>2026-10-12T00:00:00.000Z</v>
      </c>
      <c r="Q41" s="406" t="d">
        <v>2026-10-12T00:00:00.000Z</v>
      </c>
      <c r="R41" s="406" t="d">
        <v>2026-10-12T00:00:00.000Z</v>
      </c>
      <c r="S41" s="406" t="d">
        <v>2026-10-12T00:00:00.000Z</v>
      </c>
      <c r="T41" s="407" t="d">
        <v>2026-10-12T00:00:00.000Z</v>
      </c>
      <c r="U41"/>
      <c r="V41"/>
      <c r="W41"/>
    </row>
    <row r="42" spans="1:23" ht="13.8" thickBot="1">
      <c r="A42" s="240"/>
      <c r="B42" s="323" t="s">
        <v>54</v>
      </c>
      <c r="C42" s="323"/>
      <c r="D42" s="323"/>
      <c r="E42" s="217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9"/>
      <c r="U42"/>
      <c r="V42"/>
      <c r="W42"/>
    </row>
    <row r="43" spans="1:23" ht="10.8" thickTop="1">
      <c r="A43" s="82"/>
      <c r="B43" s="78"/>
      <c r="C43" s="79"/>
      <c r="D43" s="78"/>
    </row>
  </sheetData>
  <mergeCells count="28"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  <mergeCell ref="C5:T5"/>
    <mergeCell ref="B41:D41"/>
    <mergeCell ref="A7:B7"/>
    <mergeCell ref="B42:D42"/>
    <mergeCell ref="B39:D39"/>
    <mergeCell ref="C3:E3"/>
    <mergeCell ref="A3:B3"/>
    <mergeCell ref="A4:B4"/>
    <mergeCell ref="C4:D4"/>
    <mergeCell ref="D19:E19"/>
    <mergeCell ref="A6:B6"/>
    <mergeCell ref="B40:D40"/>
    <mergeCell ref="A5:B5"/>
  </mergeCells>
  <phoneticPr fontId="34" type="noConversion"/>
  <dataValidations count="3">
    <dataValidation type="list" allowBlank="1" showInputMessage="1" showErrorMessage="1" sqref="F39:T39" xr:uid="{4F0FDADA-C9EF-400A-881A-AF3E51DEA759}">
      <formula1>"N,A,B, "</formula1>
    </dataValidation>
    <dataValidation type="list" allowBlank="1" showInputMessage="1" showErrorMessage="1" sqref="F40:T40" xr:uid="{573C0A90-0C1B-494A-9AC5-3425306E3FA4}">
      <formula1>"P,F, "</formula1>
    </dataValidation>
    <dataValidation type="list" allowBlank="1" showInputMessage="1" showErrorMessage="1" sqref="F10:T38" xr:uid="{E5CBA5B6-2878-420E-925D-890A3C1FCFED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69D6-4470-400C-BD8E-C9AD0E740FD0}">
  <dimension ref="A1:W43"/>
  <sheetViews>
    <sheetView tabSelected="1" workbookViewId="0">
      <pane ySplit="9" topLeftCell="A33" activePane="bottomLeft" state="frozen"/>
      <selection pane="bottomLeft"/>
    </sheetView>
  </sheetViews>
  <sheetFormatPr defaultColWidth="9" defaultRowHeight="13.5" customHeight="1"/>
  <cols>
    <col min="1" max="1" width="6.77734375" style="113" customWidth="1"/>
    <col min="2" max="2" width="13.33203125" style="117" customWidth="1"/>
    <col min="3" max="3" width="10.77734375" style="113" customWidth="1"/>
    <col min="4" max="4" width="11.33203125" style="114" customWidth="1"/>
    <col min="5" max="5" width="1.77734375" style="113" hidden="1" customWidth="1"/>
    <col min="6" max="7" width="2.77734375" style="113" bestFit="1" customWidth="1"/>
    <col min="8" max="8" width="2.77734375" style="113" customWidth="1"/>
    <col min="9" max="10" width="2.77734375" style="113" bestFit="1" customWidth="1"/>
    <col min="11" max="19" width="2.77734375" style="113" customWidth="1"/>
    <col min="20" max="20" width="2.77734375" style="113" bestFit="1" customWidth="1"/>
    <col min="21" max="21" width="2.77734375" style="113" customWidth="1"/>
    <col min="22" max="16384" width="9" style="113"/>
  </cols>
  <sheetData>
    <row r="1" spans="1:23" ht="13.5" customHeight="1" thickBot="1"/>
    <row r="2" spans="1:23" ht="13.5" customHeight="1">
      <c r="A2" s="353" t="s">
        <v>69</v>
      </c>
      <c r="B2" s="354"/>
      <c r="C2" s="355" t="str">
        <f>Functions!E13</f>
        <v>AUTH03</v>
      </c>
      <c r="D2" s="357"/>
      <c r="F2" s="354" t="s">
        <v>17</v>
      </c>
      <c r="G2" s="354"/>
      <c r="H2" s="354"/>
      <c r="I2" s="354"/>
      <c r="J2" s="354"/>
      <c r="K2" s="354"/>
      <c r="L2" s="388" t="str">
        <f>Functions!D13</f>
        <v>login</v>
      </c>
      <c r="M2" s="389"/>
      <c r="N2" s="389"/>
      <c r="O2" s="389"/>
      <c r="P2" s="389"/>
      <c r="Q2" s="389"/>
      <c r="R2" s="389"/>
      <c r="S2" s="389"/>
      <c r="T2" s="390"/>
    </row>
    <row r="3" spans="1:23" ht="13.5" customHeight="1">
      <c r="A3" s="369" t="s">
        <v>70</v>
      </c>
      <c r="B3" s="370"/>
      <c r="C3" s="363" t="str">
        <v>FJMS team</v>
      </c>
      <c r="D3" s="364"/>
      <c r="E3" s="365"/>
      <c r="F3" s="385" t="s">
        <v>71</v>
      </c>
      <c r="G3" s="386"/>
      <c r="H3" s="386"/>
      <c r="I3" s="386"/>
      <c r="J3" s="386"/>
      <c r="K3" s="387"/>
      <c r="L3" s="364" t="str">
        <v>Jest</v>
      </c>
      <c r="M3" s="364"/>
      <c r="N3" s="364"/>
      <c r="O3" s="247"/>
      <c r="P3" s="247"/>
      <c r="Q3" s="247"/>
      <c r="R3" s="247"/>
      <c r="S3" s="247"/>
      <c r="T3" s="248"/>
    </row>
    <row r="4" spans="1:23" ht="13.5" customHeight="1">
      <c r="A4" s="369" t="s">
        <v>72</v>
      </c>
      <c r="B4" s="370"/>
      <c r="C4" s="397">
        <v>91</v>
      </c>
      <c r="D4" s="398"/>
      <c r="E4" s="249"/>
      <c r="F4" s="385" t="s">
        <v>73</v>
      </c>
      <c r="G4" s="386"/>
      <c r="H4" s="386"/>
      <c r="I4" s="386"/>
      <c r="J4" s="386"/>
      <c r="K4" s="387"/>
      <c r="L4" s="394" t="str">
        <f xml:space="preserve"> IF(Functions!E6&lt;&gt;"N/A",SUM(C4*Functions!E6/1000,- O7),"N/A")</f>
        <v>N/A</v>
      </c>
      <c r="M4" s="395"/>
      <c r="N4" s="395"/>
      <c r="O4" s="395"/>
      <c r="P4" s="395"/>
      <c r="Q4" s="395"/>
      <c r="R4" s="395"/>
      <c r="S4" s="395"/>
      <c r="T4" s="396"/>
      <c r="V4" s="115"/>
    </row>
    <row r="5" spans="1:23" ht="13.5" customHeight="1">
      <c r="A5" s="369" t="s">
        <v>74</v>
      </c>
      <c r="B5" s="370"/>
      <c r="C5" s="371" t="s">
        <v>163</v>
      </c>
      <c r="D5" s="371"/>
      <c r="E5" s="371"/>
      <c r="F5" s="372"/>
      <c r="G5" s="372"/>
      <c r="H5" s="372"/>
      <c r="I5" s="372"/>
      <c r="J5" s="372"/>
      <c r="K5" s="372"/>
      <c r="L5" s="371"/>
      <c r="M5" s="371"/>
      <c r="N5" s="371"/>
      <c r="O5" s="371"/>
      <c r="P5" s="371"/>
      <c r="Q5" s="371"/>
      <c r="R5" s="371"/>
      <c r="S5" s="371"/>
      <c r="T5" s="371"/>
    </row>
    <row r="6" spans="1:23" ht="13.5" customHeight="1">
      <c r="A6" s="367" t="s">
        <v>23</v>
      </c>
      <c r="B6" s="368"/>
      <c r="C6" s="383" t="s">
        <v>24</v>
      </c>
      <c r="D6" s="373"/>
      <c r="E6" s="384"/>
      <c r="F6" s="383" t="s">
        <v>25</v>
      </c>
      <c r="G6" s="373"/>
      <c r="H6" s="373"/>
      <c r="I6" s="373"/>
      <c r="J6" s="373"/>
      <c r="K6" s="391"/>
      <c r="L6" s="373" t="s">
        <v>75</v>
      </c>
      <c r="M6" s="373"/>
      <c r="N6" s="373"/>
      <c r="O6" s="392" t="s">
        <v>26</v>
      </c>
      <c r="P6" s="373"/>
      <c r="Q6" s="373"/>
      <c r="R6" s="373"/>
      <c r="S6" s="373"/>
      <c r="T6" s="393"/>
      <c r="V6" s="115"/>
    </row>
    <row r="7" spans="1:23" ht="13.5" customHeight="1" thickBot="1">
      <c r="A7" s="382" t="n">
        <f>COUNTIF(F40:HQ40,"P")</f>
        <v>15</v>
      </c>
      <c r="B7" s="381"/>
      <c r="C7" s="377" t="n">
        <f>COUNTIF(F40:HQ40,"F")</f>
        <v>0</v>
      </c>
      <c r="D7" s="375"/>
      <c r="E7" s="381"/>
      <c r="F7" s="377" t="n">
        <f>SUM(O7,- A7,- C7)</f>
        <v>0</v>
      </c>
      <c r="G7" s="375"/>
      <c r="H7" s="375"/>
      <c r="I7" s="375"/>
      <c r="J7" s="375"/>
      <c r="K7" s="378"/>
      <c r="L7" s="250" t="n">
        <f>COUNTIF(E39:HQ39,"N")</f>
        <v>4</v>
      </c>
      <c r="M7" s="250" t="n">
        <f>COUNTIF(E39:HQ39,"A")</f>
        <v>11</v>
      </c>
      <c r="N7" s="250" t="n">
        <f>COUNTIF(E39:HQ39,"B")</f>
        <v>0</v>
      </c>
      <c r="O7" s="374" t="n">
        <f>COUNTA(E9:HT9)</f>
        <v>15</v>
      </c>
      <c r="P7" s="375"/>
      <c r="Q7" s="375"/>
      <c r="R7" s="375"/>
      <c r="S7" s="375"/>
      <c r="T7" s="376"/>
      <c r="U7" s="116"/>
    </row>
    <row r="8" spans="1:23" ht="10.8" thickBot="1"/>
    <row r="9" spans="1:23" ht="46.5" customHeight="1" thickTop="1" thickBot="1">
      <c r="A9" s="258"/>
      <c r="B9" s="259"/>
      <c r="C9" s="260"/>
      <c r="D9" s="261"/>
      <c r="E9" s="260"/>
      <c r="F9" s="262" t="s">
        <v>233</v>
      </c>
      <c r="G9" s="262" t="s">
        <v>234</v>
      </c>
      <c r="H9" s="262" t="s">
        <v>235</v>
      </c>
      <c r="I9" s="262" t="s">
        <v>236</v>
      </c>
      <c r="J9" s="262" t="s">
        <v>237</v>
      </c>
      <c r="K9" s="262" t="s">
        <v>238</v>
      </c>
      <c r="L9" s="262" t="s">
        <v>239</v>
      </c>
      <c r="M9" s="262" t="s">
        <v>240</v>
      </c>
      <c r="N9" s="262" t="s">
        <v>241</v>
      </c>
      <c r="O9" s="262" t="s">
        <v>242</v>
      </c>
      <c r="P9" s="262" t="s">
        <v>243</v>
      </c>
      <c r="Q9" s="262" t="s">
        <v>244</v>
      </c>
      <c r="R9" s="262" t="s">
        <v>245</v>
      </c>
      <c r="S9" s="262" t="s">
        <v>246</v>
      </c>
      <c r="T9" s="263" t="s">
        <v>247</v>
      </c>
      <c r="U9" s="118"/>
      <c r="V9" s="115"/>
    </row>
    <row r="10" spans="1:23" ht="13.5" customHeight="1">
      <c r="A10" s="264" t="s">
        <v>76</v>
      </c>
      <c r="B10" s="119" t="s">
        <v>77</v>
      </c>
      <c r="C10" s="120"/>
      <c r="D10" s="121"/>
      <c r="E10" s="122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265"/>
    </row>
    <row r="11" spans="1:23" ht="13.5" customHeight="1">
      <c r="A11" s="266"/>
      <c r="B11" s="119"/>
      <c r="C11" s="120"/>
      <c r="D11" s="121" t="s">
        <v>179</v>
      </c>
      <c r="E11" s="124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265"/>
      <c r="V11" s="115"/>
    </row>
    <row r="12" spans="1:23" ht="13.5" customHeight="1">
      <c r="A12" s="266"/>
      <c r="B12" s="119"/>
      <c r="C12" s="120"/>
      <c r="D12" s="121" t="s">
        <v>180</v>
      </c>
      <c r="E12" s="124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265"/>
    </row>
    <row r="13" spans="1:23" ht="13.5" customHeight="1">
      <c r="A13" s="266"/>
      <c r="B13" s="119"/>
      <c r="C13" s="120"/>
      <c r="D13" s="121" t="s">
        <v>181</v>
      </c>
      <c r="E13" s="125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265"/>
    </row>
    <row r="14" spans="1:23" ht="13.5" customHeight="1">
      <c r="A14" s="266"/>
      <c r="B14" s="119" t="s">
        <v>182</v>
      </c>
      <c r="C14" s="120"/>
      <c r="D14" s="121"/>
      <c r="E14" s="126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265"/>
    </row>
    <row r="15" spans="1:23" ht="13.5" customHeight="1">
      <c r="A15" s="266"/>
      <c r="B15" s="119"/>
      <c r="C15" s="120"/>
      <c r="D15" s="121" t="s">
        <v>184</v>
      </c>
      <c r="E15" s="126"/>
      <c r="F15" s="123" t="s">
        <v>106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265"/>
      <c r="U15"/>
      <c r="V15"/>
      <c r="W15" s="115"/>
    </row>
    <row r="16" spans="1:23" ht="13.5" customHeight="1">
      <c r="A16" s="266"/>
      <c r="B16" s="119"/>
      <c r="C16" s="120"/>
      <c r="D16" s="121" t="s">
        <v>185</v>
      </c>
      <c r="E16" s="126"/>
      <c r="F16" s="123"/>
      <c r="G16" s="123" t="s">
        <v>106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265"/>
      <c r="U16"/>
      <c r="V16"/>
      <c r="W16"/>
    </row>
    <row r="17" spans="1:23" ht="13.5" customHeight="1">
      <c r="A17" s="266"/>
      <c r="B17" s="119"/>
      <c r="C17" s="120"/>
      <c r="D17" s="121" t="s">
        <v>248</v>
      </c>
      <c r="E17" s="126"/>
      <c r="F17" s="123"/>
      <c r="G17" s="123"/>
      <c r="H17" s="123" t="s">
        <v>106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265"/>
      <c r="U17" s="127"/>
      <c r="V17"/>
      <c r="W17"/>
    </row>
    <row r="18" spans="1:23" ht="13.5" customHeight="1">
      <c r="A18" s="266"/>
      <c r="B18" s="119"/>
      <c r="C18" s="120"/>
      <c r="D18" s="121" t="s">
        <v>249</v>
      </c>
      <c r="E18" s="126"/>
      <c r="F18" s="123"/>
      <c r="G18" s="123"/>
      <c r="H18" s="123"/>
      <c r="I18" s="123" t="s">
        <v>106</v>
      </c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265"/>
      <c r="U18" s="127"/>
      <c r="V18"/>
      <c r="W18"/>
    </row>
    <row r="19" spans="1:23" ht="13.5" customHeight="1">
      <c r="A19" s="266"/>
      <c r="B19" s="119"/>
      <c r="C19" s="120"/>
      <c r="D19" s="366" t="s">
        <v>250</v>
      </c>
      <c r="E19" s="366"/>
      <c r="F19" s="123"/>
      <c r="G19" s="123"/>
      <c r="H19" s="123"/>
      <c r="I19" s="123"/>
      <c r="J19" s="123" t="s">
        <v>106</v>
      </c>
      <c r="K19" s="123"/>
      <c r="L19" s="123"/>
      <c r="M19" s="123"/>
      <c r="N19" s="123"/>
      <c r="O19" s="123"/>
      <c r="P19" s="123"/>
      <c r="Q19" s="123"/>
      <c r="R19" s="123"/>
      <c r="S19" s="123"/>
      <c r="T19" s="265"/>
      <c r="U19"/>
      <c r="V19"/>
      <c r="W19"/>
    </row>
    <row r="20" spans="1:23" ht="13.5" customHeight="1">
      <c r="A20" s="266"/>
      <c r="B20" s="119"/>
      <c r="C20" s="120"/>
      <c r="D20" s="121" t="s">
        <v>251</v>
      </c>
      <c r="E20" s="126"/>
      <c r="F20" s="123"/>
      <c r="G20" s="123"/>
      <c r="H20" s="123"/>
      <c r="I20" s="123"/>
      <c r="J20" s="123"/>
      <c r="K20" s="123" t="s">
        <v>106</v>
      </c>
      <c r="L20" s="123"/>
      <c r="M20" s="123"/>
      <c r="N20" s="123"/>
      <c r="O20" s="123"/>
      <c r="P20" s="123"/>
      <c r="Q20" s="123"/>
      <c r="R20" s="123"/>
      <c r="S20" s="123"/>
      <c r="T20" s="265"/>
      <c r="U20"/>
      <c r="V20"/>
      <c r="W20"/>
    </row>
    <row r="21" spans="1:23" ht="13.5" customHeight="1">
      <c r="A21" s="266"/>
      <c r="B21" s="119"/>
      <c r="C21" s="120"/>
      <c r="D21" s="121" t="s">
        <v>252</v>
      </c>
      <c r="E21" s="126"/>
      <c r="F21" s="123"/>
      <c r="G21" s="123"/>
      <c r="H21" s="123"/>
      <c r="I21" s="123"/>
      <c r="J21" s="123"/>
      <c r="K21" s="123"/>
      <c r="L21" s="123" t="s">
        <v>106</v>
      </c>
      <c r="M21" s="123"/>
      <c r="N21" s="123"/>
      <c r="O21" s="123"/>
      <c r="P21" s="123"/>
      <c r="Q21" s="123"/>
      <c r="R21" s="123"/>
      <c r="S21" s="123"/>
      <c r="T21" s="265"/>
      <c r="U21"/>
      <c r="V21"/>
      <c r="W21"/>
    </row>
    <row r="22" spans="1:23" ht="13.5" customHeight="1">
      <c r="A22" s="266"/>
      <c r="B22" s="119"/>
      <c r="C22" s="120"/>
      <c r="D22" s="121" t="s">
        <v>253</v>
      </c>
      <c r="E22" s="126"/>
      <c r="F22" s="123"/>
      <c r="G22" s="123"/>
      <c r="H22" s="123"/>
      <c r="I22" s="123"/>
      <c r="J22" s="123"/>
      <c r="K22" s="123"/>
      <c r="L22" s="123"/>
      <c r="M22" s="123" t="s">
        <v>106</v>
      </c>
      <c r="N22" s="123"/>
      <c r="O22" s="123"/>
      <c r="P22" s="123"/>
      <c r="Q22" s="123"/>
      <c r="R22" s="123"/>
      <c r="S22" s="123"/>
      <c r="T22" s="265"/>
      <c r="U22"/>
      <c r="V22"/>
      <c r="W22"/>
    </row>
    <row r="23" spans="1:23" ht="13.5" customHeight="1">
      <c r="A23" s="266"/>
      <c r="B23" s="119"/>
      <c r="C23" s="120"/>
      <c r="D23" s="121" t="s">
        <v>254</v>
      </c>
      <c r="E23" s="126"/>
      <c r="F23" s="123"/>
      <c r="G23" s="123"/>
      <c r="H23" s="123"/>
      <c r="I23" s="123"/>
      <c r="J23" s="123"/>
      <c r="K23" s="123"/>
      <c r="L23" s="123"/>
      <c r="M23" s="123"/>
      <c r="N23" s="123" t="s">
        <v>106</v>
      </c>
      <c r="O23" s="123"/>
      <c r="P23" s="123"/>
      <c r="Q23" s="123"/>
      <c r="R23" s="123"/>
      <c r="S23" s="123"/>
      <c r="T23" s="265"/>
      <c r="U23"/>
      <c r="V23"/>
      <c r="W23"/>
    </row>
    <row r="24" spans="1:23" ht="13.5" customHeight="1">
      <c r="A24" s="266"/>
      <c r="B24" s="119"/>
      <c r="C24" s="120"/>
      <c r="D24" s="121" t="s">
        <v>255</v>
      </c>
      <c r="E24" s="126"/>
      <c r="F24" s="123"/>
      <c r="G24" s="123"/>
      <c r="H24" s="123"/>
      <c r="I24" s="123"/>
      <c r="J24" s="123"/>
      <c r="K24" s="123"/>
      <c r="L24" s="123"/>
      <c r="M24" s="123"/>
      <c r="N24" s="123"/>
      <c r="O24" s="123" t="s">
        <v>106</v>
      </c>
      <c r="P24" s="123"/>
      <c r="Q24" s="123"/>
      <c r="R24" s="123"/>
      <c r="S24" s="123"/>
      <c r="T24" s="265"/>
      <c r="U24"/>
      <c r="V24"/>
      <c r="W24"/>
    </row>
    <row r="25" spans="1:23" ht="13.5" customHeight="1">
      <c r="A25" s="266"/>
      <c r="B25" s="119"/>
      <c r="C25" s="120"/>
      <c r="D25" s="121" t="s">
        <v>228</v>
      </c>
      <c r="E25" s="126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 t="s">
        <v>106</v>
      </c>
      <c r="Q25" s="123"/>
      <c r="R25" s="123"/>
      <c r="S25" s="123"/>
      <c r="T25" s="265"/>
      <c r="U25"/>
      <c r="V25"/>
      <c r="W25"/>
    </row>
    <row r="26" spans="1:23" ht="13.5" customHeight="1">
      <c r="A26" s="266"/>
      <c r="B26" s="119"/>
      <c r="C26" s="120"/>
      <c r="D26" s="121" t="s">
        <v>229</v>
      </c>
      <c r="E26" s="126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 t="s">
        <v>106</v>
      </c>
      <c r="R26" s="123"/>
      <c r="S26" s="123"/>
      <c r="T26" s="265"/>
      <c r="U26"/>
      <c r="V26"/>
      <c r="W26"/>
    </row>
    <row r="27" spans="1:23" ht="13.5" customHeight="1">
      <c r="A27" s="266"/>
      <c r="B27" s="119"/>
      <c r="C27" s="120"/>
      <c r="D27" s="121" t="s">
        <v>230</v>
      </c>
      <c r="E27" s="126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 t="s">
        <v>106</v>
      </c>
      <c r="S27" s="123"/>
      <c r="T27" s="265"/>
      <c r="U27"/>
      <c r="V27"/>
      <c r="W27"/>
    </row>
    <row r="28" spans="1:23" ht="13.5" customHeight="1">
      <c r="A28" s="266"/>
      <c r="B28" s="119"/>
      <c r="C28" s="120"/>
      <c r="D28" s="121" t="s">
        <v>256</v>
      </c>
      <c r="E28" s="126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 t="s">
        <v>106</v>
      </c>
      <c r="T28" s="265"/>
      <c r="U28"/>
      <c r="V28"/>
      <c r="W28"/>
    </row>
    <row r="29" spans="1:23" ht="13.5" customHeight="1">
      <c r="A29" s="266"/>
      <c r="B29" s="119"/>
      <c r="C29" s="120"/>
      <c r="D29" s="121" t="s">
        <v>257</v>
      </c>
      <c r="E29" s="126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265" t="s">
        <v>106</v>
      </c>
      <c r="U29"/>
      <c r="V29"/>
      <c r="W29"/>
    </row>
    <row r="30" spans="1:23" ht="13.5" customHeight="1" thickBot="1">
      <c r="A30" s="266"/>
      <c r="B30" s="128"/>
      <c r="C30" s="129"/>
      <c r="D30" s="130"/>
      <c r="E30" s="131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267"/>
      <c r="U30"/>
      <c r="V30"/>
      <c r="W30"/>
    </row>
    <row r="31" spans="1:23" ht="13.5" customHeight="1" thickTop="1">
      <c r="A31" s="268" t="s">
        <v>78</v>
      </c>
      <c r="B31" s="133" t="s">
        <v>79</v>
      </c>
      <c r="C31" s="134"/>
      <c r="D31" s="135"/>
      <c r="E31" s="136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269"/>
    </row>
    <row r="32" spans="1:23" ht="13.5" customHeight="1">
      <c r="A32" s="270"/>
      <c r="B32" s="138"/>
      <c r="C32" s="139"/>
      <c r="D32" s="140" t="s">
        <v>198</v>
      </c>
      <c r="E32" s="141"/>
      <c r="F32" s="123" t="s">
        <v>106</v>
      </c>
      <c r="G32" s="123" t="s">
        <v>106</v>
      </c>
      <c r="H32" s="123" t="s">
        <v>106</v>
      </c>
      <c r="I32" s="123" t="s">
        <v>106</v>
      </c>
      <c r="J32" s="123" t="s">
        <v>106</v>
      </c>
      <c r="K32" s="123" t="s">
        <v>106</v>
      </c>
      <c r="L32" s="123" t="s">
        <v>106</v>
      </c>
      <c r="M32" s="123" t="s">
        <v>106</v>
      </c>
      <c r="N32" s="123" t="s">
        <v>106</v>
      </c>
      <c r="O32" s="123" t="s">
        <v>106</v>
      </c>
      <c r="P32" s="123" t="s">
        <v>106</v>
      </c>
      <c r="Q32" s="123" t="s">
        <v>106</v>
      </c>
      <c r="R32" s="123" t="s">
        <v>106</v>
      </c>
      <c r="S32" s="123" t="s">
        <v>106</v>
      </c>
      <c r="T32" s="265" t="s">
        <v>106</v>
      </c>
      <c r="U32"/>
      <c r="V32"/>
      <c r="W32"/>
    </row>
    <row r="33" spans="1:23" ht="13.5" customHeight="1">
      <c r="A33" s="270"/>
      <c r="B33" s="138"/>
      <c r="C33" s="142"/>
      <c r="D33" s="140" t="s">
        <v>199</v>
      </c>
      <c r="E33" s="143"/>
      <c r="F33" s="123" t="s">
        <v>106</v>
      </c>
      <c r="G33" s="123" t="s">
        <v>106</v>
      </c>
      <c r="H33" s="123" t="s">
        <v>106</v>
      </c>
      <c r="I33" s="123" t="s">
        <v>106</v>
      </c>
      <c r="J33" s="123" t="s">
        <v>106</v>
      </c>
      <c r="K33" s="123" t="s">
        <v>106</v>
      </c>
      <c r="L33" s="123" t="s">
        <v>106</v>
      </c>
      <c r="M33" s="123" t="s">
        <v>106</v>
      </c>
      <c r="N33" s="123" t="s">
        <v>106</v>
      </c>
      <c r="O33" s="123" t="s">
        <v>106</v>
      </c>
      <c r="P33" s="123" t="s">
        <v>106</v>
      </c>
      <c r="Q33" s="123" t="s">
        <v>106</v>
      </c>
      <c r="R33" s="123" t="s">
        <v>106</v>
      </c>
      <c r="S33" s="123" t="s">
        <v>106</v>
      </c>
      <c r="T33" s="265" t="s">
        <v>106</v>
      </c>
      <c r="U33"/>
      <c r="V33"/>
      <c r="W33"/>
    </row>
    <row r="34" spans="1:23" ht="13.5" customHeight="1">
      <c r="A34" s="270"/>
      <c r="B34" s="138" t="s">
        <v>80</v>
      </c>
      <c r="C34" s="142"/>
      <c r="D34" s="140"/>
      <c r="E34" s="14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265"/>
    </row>
    <row r="35" spans="1:23" ht="13.5" customHeight="1">
      <c r="A35" s="270"/>
      <c r="B35" s="138"/>
      <c r="C35" s="142"/>
      <c r="D35" s="140" t="s">
        <v>200</v>
      </c>
      <c r="E35" s="143"/>
      <c r="F35" s="123" t="s">
        <v>106</v>
      </c>
      <c r="G35" s="123" t="s">
        <v>106</v>
      </c>
      <c r="H35" s="123" t="s">
        <v>106</v>
      </c>
      <c r="I35" s="123" t="s">
        <v>106</v>
      </c>
      <c r="J35" s="123" t="s">
        <v>106</v>
      </c>
      <c r="K35" s="123" t="s">
        <v>106</v>
      </c>
      <c r="L35" s="123" t="s">
        <v>106</v>
      </c>
      <c r="M35" s="123" t="s">
        <v>106</v>
      </c>
      <c r="N35" s="123" t="s">
        <v>106</v>
      </c>
      <c r="O35" s="123" t="s">
        <v>106</v>
      </c>
      <c r="P35" s="123" t="s">
        <v>106</v>
      </c>
      <c r="Q35" s="123" t="s">
        <v>106</v>
      </c>
      <c r="R35" s="123" t="s">
        <v>106</v>
      </c>
      <c r="S35" s="123" t="s">
        <v>106</v>
      </c>
      <c r="T35" s="265" t="s">
        <v>106</v>
      </c>
      <c r="U35"/>
      <c r="V35"/>
      <c r="W35"/>
    </row>
    <row r="36" spans="1:23" ht="13.5" customHeight="1">
      <c r="A36" s="270"/>
      <c r="B36" s="138" t="s">
        <v>81</v>
      </c>
      <c r="C36" s="142"/>
      <c r="D36" s="140"/>
      <c r="E36" s="14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265"/>
    </row>
    <row r="37" spans="1:23" ht="13.5" customHeight="1">
      <c r="A37" s="270"/>
      <c r="B37" s="138"/>
      <c r="C37" s="142"/>
      <c r="D37" s="140" t="s">
        <v>201</v>
      </c>
      <c r="E37" s="14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265"/>
      <c r="U37"/>
      <c r="V37"/>
      <c r="W37"/>
    </row>
    <row r="38" spans="1:23" ht="13.5" customHeight="1" thickBot="1">
      <c r="A38" s="270"/>
      <c r="B38" s="251"/>
      <c r="C38" s="252"/>
      <c r="D38" s="253" t="s">
        <v>201</v>
      </c>
      <c r="E38" s="254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71"/>
      <c r="U38"/>
      <c r="V38"/>
      <c r="W38"/>
    </row>
    <row r="39" spans="1:23" ht="13.5" customHeight="1" thickTop="1">
      <c r="A39" s="268" t="s">
        <v>46</v>
      </c>
      <c r="B39" s="362" t="s">
        <v>47</v>
      </c>
      <c r="C39" s="362"/>
      <c r="D39" s="362"/>
      <c r="E39" s="256"/>
      <c r="F39" s="257" t="s">
        <v>50</v>
      </c>
      <c r="G39" s="257" t="s">
        <v>50</v>
      </c>
      <c r="H39" s="257" t="s">
        <v>50</v>
      </c>
      <c r="I39" s="257" t="s">
        <v>50</v>
      </c>
      <c r="J39" s="257" t="s">
        <v>50</v>
      </c>
      <c r="K39" s="257" t="s">
        <v>50</v>
      </c>
      <c r="L39" s="257" t="s">
        <v>48</v>
      </c>
      <c r="M39" s="257" t="s">
        <v>48</v>
      </c>
      <c r="N39" s="257" t="s">
        <v>48</v>
      </c>
      <c r="O39" s="257" t="s">
        <v>48</v>
      </c>
      <c r="P39" s="257" t="s">
        <v>50</v>
      </c>
      <c r="Q39" s="257" t="s">
        <v>50</v>
      </c>
      <c r="R39" s="257" t="s">
        <v>50</v>
      </c>
      <c r="S39" s="257" t="s">
        <v>50</v>
      </c>
      <c r="T39" s="272" t="s">
        <v>50</v>
      </c>
      <c r="U39"/>
      <c r="V39"/>
      <c r="W39"/>
    </row>
    <row r="40" spans="1:23" ht="13.5" customHeight="1">
      <c r="A40" s="273"/>
      <c r="B40" s="379" t="s">
        <v>51</v>
      </c>
      <c r="C40" s="379"/>
      <c r="D40" s="379"/>
      <c r="E40" s="145"/>
      <c r="F40" s="144" t="s">
        <v>52</v>
      </c>
      <c r="G40" s="144" t="s">
        <v>52</v>
      </c>
      <c r="H40" s="144" t="s">
        <v>52</v>
      </c>
      <c r="I40" s="144" t="s">
        <v>52</v>
      </c>
      <c r="J40" s="144" t="s">
        <v>52</v>
      </c>
      <c r="K40" s="144" t="s">
        <v>52</v>
      </c>
      <c r="L40" s="144" t="s">
        <v>52</v>
      </c>
      <c r="M40" s="144" t="s">
        <v>52</v>
      </c>
      <c r="N40" s="144" t="s">
        <v>52</v>
      </c>
      <c r="O40" s="144" t="s">
        <v>52</v>
      </c>
      <c r="P40" s="144" t="s">
        <v>52</v>
      </c>
      <c r="Q40" s="144" t="s">
        <v>52</v>
      </c>
      <c r="R40" s="144" t="s">
        <v>52</v>
      </c>
      <c r="S40" s="144" t="s">
        <v>52</v>
      </c>
      <c r="T40" s="274" t="s">
        <v>52</v>
      </c>
      <c r="U40"/>
      <c r="V40"/>
      <c r="W40"/>
    </row>
    <row r="41" spans="1:23" ht="13.5" customHeight="1">
      <c r="A41" s="273"/>
      <c r="B41" s="380" t="s">
        <v>53</v>
      </c>
      <c r="C41" s="380"/>
      <c r="D41" s="380"/>
      <c r="E41" s="146"/>
      <c r="F41" s="408" t="d">
        <v>2026-10-12T00:00:00.000Z</v>
      </c>
      <c r="G41" s="408" t="d">
        <v>2026-10-12T00:00:00.000Z</v>
      </c>
      <c r="H41" s="408" t="d">
        <v>2026-10-12T00:00:00.000Z</v>
      </c>
      <c r="I41" s="408" t="d">
        <v>2026-10-12T00:00:00.000Z</v>
      </c>
      <c r="J41" s="408" t="d">
        <v>2026-10-12T00:00:00.000Z</v>
      </c>
      <c r="K41" s="408" t="d">
        <v>2026-10-12T00:00:00.000Z</v>
      </c>
      <c r="L41" s="408" t="d">
        <v>2026-10-12T00:00:00.000Z</v>
      </c>
      <c r="M41" s="408" t="d">
        <v>2026-10-12T00:00:00.000Z</v>
      </c>
      <c r="N41" s="408" t="d">
        <v>2026-10-12T00:00:00.000Z</v>
      </c>
      <c r="O41" s="408" t="d">
        <v>2026-10-12T00:00:00.000Z</v>
      </c>
      <c r="P41" s="408" t="d">
        <v>2026-10-12T00:00:00.000Z</v>
      </c>
      <c r="Q41" s="408" t="d">
        <v>2026-10-12T00:00:00.000Z</v>
      </c>
      <c r="R41" s="408" t="d">
        <v>2026-10-12T00:00:00.000Z</v>
      </c>
      <c r="S41" s="408" t="d">
        <v>2026-10-12T00:00:00.000Z</v>
      </c>
      <c r="T41" s="409" t="d">
        <v>2026-10-12T00:00:00.000Z</v>
      </c>
      <c r="U41"/>
      <c r="V41"/>
      <c r="W41"/>
    </row>
    <row r="42" spans="1:23" ht="13.8" thickBot="1">
      <c r="A42" s="276"/>
      <c r="B42" s="361" t="s">
        <v>54</v>
      </c>
      <c r="C42" s="361"/>
      <c r="D42" s="361"/>
      <c r="E42" s="277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9"/>
      <c r="U42"/>
      <c r="V42"/>
      <c r="W42"/>
    </row>
    <row r="43" spans="1:23" ht="10.8" thickTop="1">
      <c r="A43" s="117"/>
      <c r="B43" s="113"/>
      <c r="C43" s="114"/>
      <c r="D43" s="113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</mergeCells>
  <phoneticPr fontId="34" type="noConversion"/>
  <dataValidations disablePrompts="1" count="3">
    <dataValidation type="list" allowBlank="1" showInputMessage="1" showErrorMessage="1" sqref="F39:T39" xr:uid="{3383B040-B3E3-47D2-87C2-619440AD4554}">
      <formula1>"N,A,B, "</formula1>
    </dataValidation>
    <dataValidation type="list" allowBlank="1" showInputMessage="1" showErrorMessage="1" sqref="F40:T40" xr:uid="{FEC0D0F2-7336-404F-8E9C-F909A41A0776}">
      <formula1>"P,F, "</formula1>
    </dataValidation>
    <dataValidation type="list" allowBlank="1" showInputMessage="1" showErrorMessage="1" sqref="F10:T38" xr:uid="{9E9613EE-4E5D-4F85-B1A0-9617543AC483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9BAF-1AF4-4754-A5E8-8040F294A752}">
  <dimension ref="A1:V49"/>
  <sheetViews>
    <sheetView topLeftCell="A25" workbookViewId="0">
      <selection activeCell="F9" sqref="F9"/>
    </sheetView>
  </sheetViews>
  <sheetFormatPr defaultColWidth="9" defaultRowHeight="13.5" customHeight="1"/>
  <cols>
    <col min="1" max="1" width="8.109375" style="78" customWidth="1"/>
    <col min="2" max="2" width="13.33203125" style="82" customWidth="1"/>
    <col min="3" max="3" width="10.77734375" style="78" customWidth="1"/>
    <col min="4" max="4" width="11.33203125" style="79" customWidth="1"/>
    <col min="5" max="5" width="1.77734375" style="78" hidden="1" customWidth="1"/>
    <col min="6" max="11" width="2.77734375" style="78" bestFit="1" customWidth="1"/>
    <col min="12" max="19" width="2.77734375" style="78" customWidth="1"/>
    <col min="20" max="20" width="2.77734375" style="78" bestFit="1" customWidth="1"/>
    <col min="21" max="21" width="2.77734375" style="78" customWidth="1"/>
    <col min="22" max="16384" width="9" style="78"/>
  </cols>
  <sheetData>
    <row r="1" spans="1:22" ht="13.5" customHeight="1" thickBot="1">
      <c r="A1" s="76"/>
      <c r="B1" s="77"/>
    </row>
    <row r="2" spans="1:22" ht="13.5" customHeight="1">
      <c r="A2" s="337" t="s">
        <v>69</v>
      </c>
      <c r="B2" s="338"/>
      <c r="C2" s="339" t="str">
        <f>Functions!E11</f>
        <v>AUTH01</v>
      </c>
      <c r="D2" s="340"/>
      <c r="E2" s="341"/>
      <c r="F2" s="342" t="s">
        <v>17</v>
      </c>
      <c r="G2" s="343"/>
      <c r="H2" s="343"/>
      <c r="I2" s="343"/>
      <c r="J2" s="343"/>
      <c r="K2" s="343"/>
      <c r="L2" s="309" t="str">
        <f>Functions!D11</f>
        <v>register</v>
      </c>
      <c r="M2" s="310"/>
      <c r="N2" s="310"/>
      <c r="O2" s="310"/>
      <c r="P2" s="310"/>
      <c r="Q2" s="310"/>
      <c r="R2" s="310"/>
      <c r="S2" s="310"/>
      <c r="T2" s="311"/>
      <c r="V2" s="80"/>
    </row>
    <row r="3" spans="1:22" ht="13.5" customHeight="1">
      <c r="A3" s="330" t="s">
        <v>70</v>
      </c>
      <c r="B3" s="331"/>
      <c r="C3" s="325" t="s">
        <v>34</v>
      </c>
      <c r="D3" s="312"/>
      <c r="E3" s="326"/>
      <c r="F3" s="315" t="s">
        <v>71</v>
      </c>
      <c r="G3" s="316"/>
      <c r="H3" s="316"/>
      <c r="I3" s="316"/>
      <c r="J3" s="316"/>
      <c r="K3" s="317"/>
      <c r="L3" s="312"/>
      <c r="M3" s="312"/>
      <c r="N3" s="312"/>
      <c r="O3" s="181"/>
      <c r="P3" s="181"/>
      <c r="Q3" s="181"/>
      <c r="R3" s="181"/>
      <c r="S3" s="181"/>
      <c r="T3" s="182"/>
    </row>
    <row r="4" spans="1:22" ht="13.5" customHeight="1">
      <c r="A4" s="330" t="s">
        <v>72</v>
      </c>
      <c r="B4" s="331"/>
      <c r="C4" s="349">
        <v>100</v>
      </c>
      <c r="D4" s="350"/>
      <c r="E4" s="193"/>
      <c r="F4" s="315" t="s">
        <v>73</v>
      </c>
      <c r="G4" s="316"/>
      <c r="H4" s="316"/>
      <c r="I4" s="316"/>
      <c r="J4" s="316"/>
      <c r="K4" s="317"/>
      <c r="L4" s="318" t="str">
        <f xml:space="preserve"> IF(Functions!E6&lt;&gt;"N/A",SUM(C4*Functions!E6/1000,- O7),"N/A")</f>
        <v>N/A</v>
      </c>
      <c r="M4" s="319"/>
      <c r="N4" s="319"/>
      <c r="O4" s="319"/>
      <c r="P4" s="319"/>
      <c r="Q4" s="319"/>
      <c r="R4" s="319"/>
      <c r="S4" s="319"/>
      <c r="T4" s="320"/>
      <c r="V4" s="80"/>
    </row>
    <row r="5" spans="1:22" ht="13.5" customHeight="1">
      <c r="A5" s="330" t="s">
        <v>74</v>
      </c>
      <c r="B5" s="331"/>
      <c r="C5" s="332" t="s">
        <v>68</v>
      </c>
      <c r="D5" s="332"/>
      <c r="E5" s="332"/>
      <c r="F5" s="333"/>
      <c r="G5" s="333"/>
      <c r="H5" s="333"/>
      <c r="I5" s="333"/>
      <c r="J5" s="333"/>
      <c r="K5" s="333"/>
      <c r="L5" s="332"/>
      <c r="M5" s="332"/>
      <c r="N5" s="332"/>
      <c r="O5" s="332"/>
      <c r="P5" s="332"/>
      <c r="Q5" s="332"/>
      <c r="R5" s="332"/>
      <c r="S5" s="332"/>
      <c r="T5" s="332"/>
    </row>
    <row r="6" spans="1:22" ht="13.5" customHeight="1">
      <c r="A6" s="328" t="s">
        <v>23</v>
      </c>
      <c r="B6" s="329"/>
      <c r="C6" s="313" t="s">
        <v>24</v>
      </c>
      <c r="D6" s="307"/>
      <c r="E6" s="314"/>
      <c r="F6" s="313" t="s">
        <v>25</v>
      </c>
      <c r="G6" s="307"/>
      <c r="H6" s="307"/>
      <c r="I6" s="307"/>
      <c r="J6" s="307"/>
      <c r="K6" s="321"/>
      <c r="L6" s="307" t="s">
        <v>75</v>
      </c>
      <c r="M6" s="307"/>
      <c r="N6" s="307"/>
      <c r="O6" s="306" t="s">
        <v>26</v>
      </c>
      <c r="P6" s="307"/>
      <c r="Q6" s="307"/>
      <c r="R6" s="307"/>
      <c r="S6" s="307"/>
      <c r="T6" s="308"/>
      <c r="V6" s="80"/>
    </row>
    <row r="7" spans="1:22" ht="13.5" customHeight="1" thickBot="1">
      <c r="A7" s="348" t="n">
        <f>COUNTIF(F47:HQ47,"P")</f>
        <v>0</v>
      </c>
      <c r="B7" s="347"/>
      <c r="C7" s="345" t="n">
        <f>COUNTIF(F47:HQ47,"F")</f>
        <v>0</v>
      </c>
      <c r="D7" s="335"/>
      <c r="E7" s="347"/>
      <c r="F7" s="345" t="n">
        <f>SUM(O7,- A7,- C7)</f>
        <v>15</v>
      </c>
      <c r="G7" s="335"/>
      <c r="H7" s="335"/>
      <c r="I7" s="335"/>
      <c r="J7" s="335"/>
      <c r="K7" s="346"/>
      <c r="L7" s="183" t="n">
        <f>COUNTIF(E46:HQ46,"N")</f>
        <v>0</v>
      </c>
      <c r="M7" s="183" t="n">
        <f>COUNTIF(E46:HQ46,"A")</f>
        <v>0</v>
      </c>
      <c r="N7" s="183" t="n">
        <f>COUNTIF(E46:HQ46,"B")</f>
        <v>0</v>
      </c>
      <c r="O7" s="334" t="n">
        <f>COUNTA(E9:HT9)</f>
        <v>15</v>
      </c>
      <c r="P7" s="335"/>
      <c r="Q7" s="335"/>
      <c r="R7" s="335"/>
      <c r="S7" s="335"/>
      <c r="T7" s="336"/>
      <c r="U7" s="81"/>
    </row>
    <row r="8" spans="1:22" ht="10.8" thickBot="1"/>
    <row r="9" spans="1:22" ht="45" customHeight="1" thickTop="1" thickBot="1">
      <c r="A9" s="228"/>
      <c r="B9" s="202"/>
      <c r="C9" s="203"/>
      <c r="D9" s="204"/>
      <c r="E9" s="203"/>
      <c r="F9" s="205" t="s">
        <v>35</v>
      </c>
      <c r="G9" s="205" t="s">
        <v>36</v>
      </c>
      <c r="H9" s="205" t="s">
        <v>36</v>
      </c>
      <c r="I9" s="205" t="s">
        <v>36</v>
      </c>
      <c r="J9" s="205" t="s">
        <v>36</v>
      </c>
      <c r="K9" s="205" t="s">
        <v>36</v>
      </c>
      <c r="L9" s="205" t="s">
        <v>37</v>
      </c>
      <c r="M9" s="205" t="s">
        <v>38</v>
      </c>
      <c r="N9" s="205" t="s">
        <v>39</v>
      </c>
      <c r="O9" s="205" t="s">
        <v>40</v>
      </c>
      <c r="P9" s="205" t="s">
        <v>41</v>
      </c>
      <c r="Q9" s="205" t="s">
        <v>42</v>
      </c>
      <c r="R9" s="205" t="s">
        <v>43</v>
      </c>
      <c r="S9" s="205" t="s">
        <v>44</v>
      </c>
      <c r="T9" s="206" t="s">
        <v>45</v>
      </c>
      <c r="U9" s="83"/>
      <c r="V9" s="80"/>
    </row>
    <row r="10" spans="1:22" ht="13.5" customHeight="1">
      <c r="A10" s="222" t="s">
        <v>76</v>
      </c>
      <c r="B10" s="84" t="s">
        <v>55</v>
      </c>
      <c r="C10" s="85"/>
      <c r="D10" s="86"/>
      <c r="E10" s="8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234"/>
    </row>
    <row r="11" spans="1:22" ht="13.5" customHeight="1">
      <c r="A11" s="208"/>
      <c r="B11" s="84"/>
      <c r="C11" s="85"/>
      <c r="D11" s="86"/>
      <c r="E11" s="89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234"/>
      <c r="V11" s="80"/>
    </row>
    <row r="12" spans="1:22" ht="13.5" customHeight="1">
      <c r="A12" s="208"/>
      <c r="B12" s="84"/>
      <c r="C12" s="85"/>
      <c r="D12" s="86"/>
      <c r="E12" s="89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234"/>
    </row>
    <row r="13" spans="1:22" ht="13.5" customHeight="1">
      <c r="A13" s="208"/>
      <c r="B13" s="84"/>
      <c r="C13" s="85"/>
      <c r="D13" s="86"/>
      <c r="E13" s="90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234"/>
    </row>
    <row r="14" spans="1:22" ht="13.5" customHeight="1">
      <c r="A14" s="208"/>
      <c r="B14" s="84" t="s">
        <v>100</v>
      </c>
      <c r="C14" s="85"/>
      <c r="D14" s="86"/>
      <c r="E14" s="91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234"/>
    </row>
    <row r="15" spans="1:22" ht="13.5" customHeight="1">
      <c r="A15" s="208"/>
      <c r="B15" s="84"/>
      <c r="C15" s="85"/>
      <c r="D15" s="86">
        <v>-2</v>
      </c>
      <c r="E15" s="91"/>
      <c r="F15" s="88" t="s">
        <v>106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234"/>
    </row>
    <row r="16" spans="1:22" ht="13.5" customHeight="1">
      <c r="A16" s="208"/>
      <c r="B16" s="84"/>
      <c r="C16" s="85"/>
      <c r="D16" s="86">
        <v>-1</v>
      </c>
      <c r="E16" s="91"/>
      <c r="F16" s="88"/>
      <c r="G16" s="88"/>
      <c r="H16" s="88"/>
      <c r="I16" s="88"/>
      <c r="J16" s="88"/>
      <c r="K16" s="88"/>
      <c r="L16" s="88" t="s">
        <v>106</v>
      </c>
      <c r="M16" s="88"/>
      <c r="N16" s="88"/>
      <c r="O16" s="88"/>
      <c r="P16" s="88"/>
      <c r="Q16" s="88"/>
      <c r="R16" s="88"/>
      <c r="S16" s="88"/>
      <c r="T16" s="234"/>
    </row>
    <row r="17" spans="1:21" ht="13.5" customHeight="1">
      <c r="A17" s="208"/>
      <c r="B17" s="84"/>
      <c r="C17" s="85"/>
      <c r="D17" s="86">
        <v>0</v>
      </c>
      <c r="E17" s="91"/>
      <c r="F17" s="88"/>
      <c r="G17" s="88" t="s">
        <v>106</v>
      </c>
      <c r="H17" s="88" t="s">
        <v>106</v>
      </c>
      <c r="I17" s="88" t="s">
        <v>106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234"/>
      <c r="U17" s="92"/>
    </row>
    <row r="18" spans="1:21" ht="13.5" customHeight="1">
      <c r="A18" s="208"/>
      <c r="B18" s="84"/>
      <c r="C18" s="85"/>
      <c r="D18" s="86">
        <v>1</v>
      </c>
      <c r="E18" s="91"/>
      <c r="F18" s="88"/>
      <c r="G18" s="88"/>
      <c r="H18" s="88"/>
      <c r="I18" s="88"/>
      <c r="J18" s="88" t="s">
        <v>106</v>
      </c>
      <c r="K18" s="88" t="s">
        <v>106</v>
      </c>
      <c r="L18" s="88"/>
      <c r="M18" s="88"/>
      <c r="N18" s="88"/>
      <c r="O18" s="88"/>
      <c r="P18" s="88"/>
      <c r="Q18" s="88"/>
      <c r="R18" s="88"/>
      <c r="S18" s="88"/>
      <c r="T18" s="234"/>
      <c r="U18" s="92"/>
    </row>
    <row r="19" spans="1:21" ht="13.5" customHeight="1">
      <c r="A19" s="208"/>
      <c r="B19" s="84" t="s">
        <v>101</v>
      </c>
      <c r="C19" s="85"/>
      <c r="D19" s="86"/>
      <c r="E19" s="91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234"/>
      <c r="U19" s="92"/>
    </row>
    <row r="20" spans="1:21" ht="13.5" customHeight="1">
      <c r="A20" s="208"/>
      <c r="B20" s="84"/>
      <c r="C20" s="85"/>
      <c r="D20" s="327">
        <v>0</v>
      </c>
      <c r="E20" s="327"/>
      <c r="F20" s="88"/>
      <c r="G20" s="88" t="s">
        <v>106</v>
      </c>
      <c r="H20" s="88" t="s">
        <v>106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234"/>
    </row>
    <row r="21" spans="1:21" ht="13.5" customHeight="1">
      <c r="A21" s="208"/>
      <c r="B21" s="84"/>
      <c r="C21" s="85"/>
      <c r="D21" s="86">
        <v>-2</v>
      </c>
      <c r="E21" s="91"/>
      <c r="F21" s="88"/>
      <c r="G21" s="88"/>
      <c r="H21" s="88"/>
      <c r="I21" s="88"/>
      <c r="J21" s="88" t="s">
        <v>106</v>
      </c>
      <c r="K21" s="88" t="s">
        <v>106</v>
      </c>
      <c r="L21" s="88" t="s">
        <v>106</v>
      </c>
      <c r="M21" s="88"/>
      <c r="N21" s="88"/>
      <c r="O21" s="88"/>
      <c r="P21" s="88"/>
      <c r="Q21" s="88"/>
      <c r="R21" s="88"/>
      <c r="S21" s="88"/>
      <c r="T21" s="234"/>
    </row>
    <row r="22" spans="1:21" ht="13.5" customHeight="1">
      <c r="A22" s="208"/>
      <c r="B22" s="84"/>
      <c r="C22" s="85"/>
      <c r="D22" s="86">
        <v>2</v>
      </c>
      <c r="E22" s="91"/>
      <c r="F22" s="88"/>
      <c r="G22" s="88"/>
      <c r="H22" s="88"/>
      <c r="I22" s="88" t="s">
        <v>106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234"/>
    </row>
    <row r="23" spans="1:21" ht="13.5" customHeight="1">
      <c r="A23" s="208"/>
      <c r="B23" s="84" t="s">
        <v>102</v>
      </c>
      <c r="C23" s="85"/>
      <c r="D23" s="86"/>
      <c r="E23" s="91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234"/>
    </row>
    <row r="24" spans="1:21" ht="13.5" customHeight="1">
      <c r="A24" s="208"/>
      <c r="B24" s="84"/>
      <c r="C24" s="85"/>
      <c r="D24" s="86">
        <v>0</v>
      </c>
      <c r="E24" s="91"/>
      <c r="F24" s="88"/>
      <c r="G24" s="88" t="s">
        <v>106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234"/>
    </row>
    <row r="25" spans="1:21" ht="13.5" customHeight="1">
      <c r="A25" s="208"/>
      <c r="B25" s="84"/>
      <c r="C25" s="85"/>
      <c r="D25" s="86">
        <v>1</v>
      </c>
      <c r="E25" s="91"/>
      <c r="F25" s="88"/>
      <c r="G25" s="88"/>
      <c r="H25" s="88" t="s">
        <v>106</v>
      </c>
      <c r="I25" s="88" t="s">
        <v>106</v>
      </c>
      <c r="J25" s="88" t="s">
        <v>106</v>
      </c>
      <c r="K25" s="88"/>
      <c r="L25" s="88"/>
      <c r="M25" s="88"/>
      <c r="N25" s="88"/>
      <c r="O25" s="88"/>
      <c r="P25" s="88"/>
      <c r="Q25" s="88"/>
      <c r="R25" s="88"/>
      <c r="S25" s="88"/>
      <c r="T25" s="234"/>
    </row>
    <row r="26" spans="1:21" ht="13.5" customHeight="1">
      <c r="A26" s="208"/>
      <c r="B26" s="84"/>
      <c r="C26" s="85"/>
      <c r="D26" s="86">
        <v>3</v>
      </c>
      <c r="E26" s="91"/>
      <c r="F26" s="88"/>
      <c r="G26" s="88"/>
      <c r="H26" s="88"/>
      <c r="I26" s="88"/>
      <c r="J26" s="88"/>
      <c r="K26" s="88"/>
      <c r="L26" s="88" t="s">
        <v>106</v>
      </c>
      <c r="M26" s="88"/>
      <c r="N26" s="88"/>
      <c r="O26" s="88"/>
      <c r="P26" s="88"/>
      <c r="Q26" s="88"/>
      <c r="R26" s="88"/>
      <c r="S26" s="88"/>
      <c r="T26" s="234"/>
    </row>
    <row r="27" spans="1:21" ht="13.5" customHeight="1">
      <c r="A27" s="208"/>
      <c r="B27" s="84"/>
      <c r="C27" s="85"/>
      <c r="D27" s="86">
        <v>5</v>
      </c>
      <c r="E27" s="91"/>
      <c r="F27" s="88"/>
      <c r="G27" s="88"/>
      <c r="H27" s="88"/>
      <c r="I27" s="88"/>
      <c r="J27" s="88"/>
      <c r="K27" s="88" t="s">
        <v>106</v>
      </c>
      <c r="L27" s="88"/>
      <c r="M27" s="88"/>
      <c r="N27" s="88"/>
      <c r="O27" s="88"/>
      <c r="P27" s="88"/>
      <c r="Q27" s="88"/>
      <c r="R27" s="88"/>
      <c r="S27" s="88"/>
      <c r="T27" s="234"/>
    </row>
    <row r="28" spans="1:21" ht="13.5" customHeight="1">
      <c r="A28" s="208"/>
      <c r="B28" s="84"/>
      <c r="C28" s="85"/>
      <c r="D28" s="86"/>
      <c r="E28" s="91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234"/>
    </row>
    <row r="29" spans="1:21" ht="13.5" customHeight="1">
      <c r="A29" s="208"/>
      <c r="B29" s="84"/>
      <c r="C29" s="85"/>
      <c r="D29" s="86"/>
      <c r="E29" s="91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234"/>
    </row>
    <row r="30" spans="1:21" ht="13.5" customHeight="1">
      <c r="A30" s="208"/>
      <c r="B30" s="84"/>
      <c r="C30" s="85"/>
      <c r="D30" s="86"/>
      <c r="E30" s="91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234"/>
    </row>
    <row r="31" spans="1:21" ht="13.5" customHeight="1">
      <c r="A31" s="208"/>
      <c r="B31" s="84"/>
      <c r="C31" s="85"/>
      <c r="D31" s="86"/>
      <c r="E31" s="91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234"/>
    </row>
    <row r="32" spans="1:21" ht="13.5" customHeight="1" thickBot="1">
      <c r="A32" s="208"/>
      <c r="B32" s="93"/>
      <c r="C32" s="94"/>
      <c r="D32" s="95"/>
      <c r="E32" s="96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35"/>
    </row>
    <row r="33" spans="1:20" ht="13.5" customHeight="1" thickTop="1">
      <c r="A33" s="221" t="s">
        <v>78</v>
      </c>
      <c r="B33" s="98" t="s">
        <v>56</v>
      </c>
      <c r="C33" s="99"/>
      <c r="D33" s="100"/>
      <c r="E33" s="101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236"/>
    </row>
    <row r="34" spans="1:20" ht="13.5" customHeight="1">
      <c r="A34" s="220"/>
      <c r="B34" s="148" t="s">
        <v>103</v>
      </c>
      <c r="C34" s="104"/>
      <c r="D34" s="105"/>
      <c r="E34" s="106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234"/>
    </row>
    <row r="35" spans="1:20" ht="13.5" customHeight="1">
      <c r="A35" s="220"/>
      <c r="B35" s="148"/>
      <c r="C35" s="104"/>
      <c r="D35" s="105" t="s">
        <v>104</v>
      </c>
      <c r="E35" s="106"/>
      <c r="F35" s="88" t="s">
        <v>106</v>
      </c>
      <c r="G35" s="88"/>
      <c r="H35" s="88" t="s">
        <v>106</v>
      </c>
      <c r="I35" s="88"/>
      <c r="J35" s="88"/>
      <c r="K35" s="88" t="s">
        <v>106</v>
      </c>
      <c r="L35" s="88"/>
      <c r="M35" s="88"/>
      <c r="N35" s="88"/>
      <c r="O35" s="88"/>
      <c r="P35" s="88"/>
      <c r="Q35" s="88"/>
      <c r="R35" s="88"/>
      <c r="S35" s="88"/>
      <c r="T35" s="234"/>
    </row>
    <row r="36" spans="1:20" ht="13.5" customHeight="1">
      <c r="A36" s="220"/>
      <c r="B36" s="148"/>
      <c r="C36" s="104"/>
      <c r="D36" s="105" t="s">
        <v>105</v>
      </c>
      <c r="E36" s="106"/>
      <c r="F36" s="88"/>
      <c r="G36" s="88" t="s">
        <v>106</v>
      </c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234"/>
    </row>
    <row r="37" spans="1:20" ht="13.5" customHeight="1">
      <c r="A37" s="220"/>
      <c r="B37" s="148"/>
      <c r="C37" s="104"/>
      <c r="D37" s="105" t="s">
        <v>108</v>
      </c>
      <c r="E37" s="106"/>
      <c r="F37" s="88"/>
      <c r="G37" s="88"/>
      <c r="H37" s="88"/>
      <c r="I37" s="88" t="s">
        <v>106</v>
      </c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234"/>
    </row>
    <row r="38" spans="1:20" ht="13.5" customHeight="1">
      <c r="A38" s="220"/>
      <c r="B38" s="148"/>
      <c r="C38" s="104"/>
      <c r="D38" s="105" t="s">
        <v>109</v>
      </c>
      <c r="E38" s="106"/>
      <c r="F38" s="88"/>
      <c r="G38" s="88"/>
      <c r="H38" s="88"/>
      <c r="I38" s="88"/>
      <c r="J38" s="88" t="s">
        <v>106</v>
      </c>
      <c r="K38" s="88"/>
      <c r="L38" s="88"/>
      <c r="M38" s="88"/>
      <c r="N38" s="88"/>
      <c r="O38" s="88"/>
      <c r="P38" s="88"/>
      <c r="Q38" s="88"/>
      <c r="R38" s="88"/>
      <c r="S38" s="88"/>
      <c r="T38" s="234"/>
    </row>
    <row r="39" spans="1:20" ht="13.5" customHeight="1">
      <c r="A39" s="220"/>
      <c r="B39" s="103"/>
      <c r="C39" s="107"/>
      <c r="D39" s="105" t="s">
        <v>110</v>
      </c>
      <c r="E39" s="108"/>
      <c r="F39" s="88"/>
      <c r="G39" s="88"/>
      <c r="H39" s="88"/>
      <c r="I39" s="88"/>
      <c r="J39" s="88"/>
      <c r="K39" s="88"/>
      <c r="L39" s="88" t="s">
        <v>106</v>
      </c>
      <c r="M39" s="88"/>
      <c r="N39" s="88"/>
      <c r="O39" s="88"/>
      <c r="P39" s="88"/>
      <c r="Q39" s="88"/>
      <c r="R39" s="88"/>
      <c r="S39" s="88"/>
      <c r="T39" s="234"/>
    </row>
    <row r="40" spans="1:20" ht="13.5" customHeight="1">
      <c r="A40" s="220"/>
      <c r="B40" s="103" t="s">
        <v>57</v>
      </c>
      <c r="C40" s="107"/>
      <c r="D40" s="105"/>
      <c r="E40" s="10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234"/>
    </row>
    <row r="41" spans="1:20" ht="13.5" customHeight="1">
      <c r="A41" s="220"/>
      <c r="B41" s="103"/>
      <c r="C41" s="107"/>
      <c r="D41" s="105"/>
      <c r="E41" s="10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234"/>
    </row>
    <row r="42" spans="1:20" ht="13.5" customHeight="1">
      <c r="A42" s="220"/>
      <c r="B42" s="103" t="s">
        <v>58</v>
      </c>
      <c r="C42" s="107"/>
      <c r="D42" s="105"/>
      <c r="E42" s="10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234"/>
    </row>
    <row r="43" spans="1:20" ht="13.5" customHeight="1">
      <c r="A43" s="220"/>
      <c r="B43" s="103"/>
      <c r="C43" s="107"/>
      <c r="D43" s="105" t="s">
        <v>107</v>
      </c>
      <c r="E43" s="108"/>
      <c r="F43" s="88" t="s">
        <v>106</v>
      </c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234"/>
    </row>
    <row r="44" spans="1:20" ht="13.5" customHeight="1" thickBot="1">
      <c r="A44" s="220"/>
      <c r="B44" s="194"/>
      <c r="C44" s="195"/>
      <c r="D44" s="196"/>
      <c r="E44" s="197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37"/>
    </row>
    <row r="45" spans="1:20" ht="13.5" customHeight="1" thickTop="1">
      <c r="A45" s="221" t="s">
        <v>46</v>
      </c>
      <c r="B45" s="324" t="s">
        <v>47</v>
      </c>
      <c r="C45" s="324"/>
      <c r="D45" s="324"/>
      <c r="E45" s="199"/>
      <c r="F45" s="227" t="s">
        <v>50</v>
      </c>
      <c r="G45" s="227" t="s">
        <v>48</v>
      </c>
      <c r="H45" s="227" t="s">
        <v>48</v>
      </c>
      <c r="I45" s="227" t="s">
        <v>48</v>
      </c>
      <c r="J45" s="227" t="s">
        <v>48</v>
      </c>
      <c r="K45" s="227" t="s">
        <v>48</v>
      </c>
      <c r="L45" s="227" t="s">
        <v>49</v>
      </c>
      <c r="M45" s="227"/>
      <c r="N45" s="227"/>
      <c r="O45" s="227"/>
      <c r="P45" s="227"/>
      <c r="Q45" s="227"/>
      <c r="R45" s="227"/>
      <c r="S45" s="227"/>
      <c r="T45" s="238"/>
    </row>
    <row r="46" spans="1:20" ht="13.5" customHeight="1">
      <c r="A46" s="213"/>
      <c r="B46" s="344" t="s">
        <v>51</v>
      </c>
      <c r="C46" s="344"/>
      <c r="D46" s="344"/>
      <c r="E46" s="110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239"/>
    </row>
    <row r="47" spans="1:20" ht="13.5" customHeight="1">
      <c r="A47" s="213"/>
      <c r="B47" s="322" t="s">
        <v>53</v>
      </c>
      <c r="C47" s="322"/>
      <c r="D47" s="322"/>
      <c r="E47" s="111"/>
      <c r="F47" s="112">
        <v>39139</v>
      </c>
      <c r="G47" s="112">
        <v>39139</v>
      </c>
      <c r="H47" s="112">
        <v>39139</v>
      </c>
      <c r="I47" s="112">
        <v>39139</v>
      </c>
      <c r="J47" s="112">
        <v>39139</v>
      </c>
      <c r="K47" s="112">
        <v>39139</v>
      </c>
      <c r="L47" s="112">
        <v>39144</v>
      </c>
      <c r="M47" s="112"/>
      <c r="N47" s="112"/>
      <c r="O47" s="112"/>
      <c r="P47" s="112"/>
      <c r="Q47" s="112"/>
      <c r="R47" s="112"/>
      <c r="S47" s="112"/>
      <c r="T47" s="215"/>
    </row>
    <row r="48" spans="1:20" ht="10.8" thickBot="1">
      <c r="A48" s="216"/>
      <c r="B48" s="323" t="s">
        <v>54</v>
      </c>
      <c r="C48" s="323"/>
      <c r="D48" s="323"/>
      <c r="E48" s="217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9"/>
    </row>
    <row r="49" spans="1:4" ht="10.8" thickTop="1">
      <c r="A49" s="82"/>
      <c r="B49" s="78"/>
      <c r="C49" s="79"/>
      <c r="D49" s="78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8:D48"/>
    <mergeCell ref="D20:E20"/>
    <mergeCell ref="B45:D45"/>
    <mergeCell ref="B46:D46"/>
    <mergeCell ref="B47:D47"/>
  </mergeCells>
  <phoneticPr fontId="44"/>
  <dataValidations count="3">
    <dataValidation type="list" allowBlank="1" showInputMessage="1" showErrorMessage="1" sqref="F46:T46" xr:uid="{0018AED8-4E3D-4283-A38F-7140097D96F3}">
      <formula1>"P,F, "</formula1>
    </dataValidation>
    <dataValidation type="list" allowBlank="1" showInputMessage="1" showErrorMessage="1" sqref="F45:T45" xr:uid="{72CD8330-6D28-420C-8A39-64A247315BE2}">
      <formula1>"N,A,B, "</formula1>
    </dataValidation>
    <dataValidation type="list" allowBlank="1" showInputMessage="1" showErrorMessage="1" sqref="F10:T44" xr:uid="{08F0B42E-EC6D-4257-ADEE-C942DD5ED4A8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Functions</vt:lpstr>
      <vt:lpstr>Statistics</vt:lpstr>
      <vt:lpstr>Function 1</vt:lpstr>
      <vt:lpstr>Function 2</vt:lpstr>
      <vt:lpstr>Function3</vt:lpstr>
      <vt:lpstr>Example</vt:lpstr>
      <vt:lpstr>'Function 1'!Print_Area</vt:lpstr>
      <vt:lpstr>'Function 2'!Print_Area</vt:lpstr>
      <vt:lpstr>Function3!Print_Area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My Tam</cp:lastModifiedBy>
  <cp:lastPrinted>2008-03-12T04:05:49Z</cp:lastPrinted>
  <dcterms:created xsi:type="dcterms:W3CDTF">2007-10-09T09:39:48Z</dcterms:created>
  <dcterms:modified xsi:type="dcterms:W3CDTF">2026-10-07T05:51:08Z</dcterms:modified>
</cp:coreProperties>
</file>